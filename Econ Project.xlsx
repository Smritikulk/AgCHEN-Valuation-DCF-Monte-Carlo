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https://tamucs-my.sharepoint.com/personal/smriti_30_tamu_edu/Documents/"/>
    </mc:Choice>
  </mc:AlternateContent>
  <xr:revisionPtr revIDLastSave="0" documentId="8_{A93BB2DA-A71F-8241-AEB9-785114121253}" xr6:coauthVersionLast="47" xr6:coauthVersionMax="47" xr10:uidLastSave="{00000000-0000-0000-0000-000000000000}"/>
  <bookViews>
    <workbookView xWindow="0" yWindow="660" windowWidth="22700" windowHeight="14480" xr2:uid="{84B59387-7AB4-40ED-89E3-DEE97B17142B}"/>
  </bookViews>
  <sheets>
    <sheet name="Sheet1" sheetId="1" r:id="rId1"/>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2" i="1" l="1" a="1"/>
  <c r="E12" i="1" a="1"/>
  <c r="B12" i="1" a="1"/>
  <c r="D15" i="1" l="1"/>
  <c r="D95" i="1"/>
  <c r="D25" i="1"/>
  <c r="D40" i="1"/>
  <c r="D120" i="1"/>
  <c r="D73" i="1"/>
  <c r="D115" i="1"/>
  <c r="D126" i="1"/>
  <c r="D82" i="1"/>
  <c r="D34" i="1"/>
  <c r="D155" i="1"/>
  <c r="D91" i="1"/>
  <c r="D161" i="1"/>
  <c r="D69" i="1"/>
  <c r="D142" i="1"/>
  <c r="D50" i="1"/>
  <c r="B12" i="1"/>
  <c r="D39" i="1"/>
  <c r="D23" i="1"/>
  <c r="D103" i="1"/>
  <c r="D33" i="1"/>
  <c r="D48" i="1"/>
  <c r="D128" i="1"/>
  <c r="D89" i="1"/>
  <c r="D125" i="1"/>
  <c r="D148" i="1"/>
  <c r="D107" i="1"/>
  <c r="D59" i="1"/>
  <c r="D165" i="1"/>
  <c r="D116" i="1"/>
  <c r="D18" i="1"/>
  <c r="D94" i="1"/>
  <c r="D164" i="1"/>
  <c r="D75" i="1"/>
  <c r="D31" i="1"/>
  <c r="D111" i="1"/>
  <c r="D49" i="1"/>
  <c r="D56" i="1"/>
  <c r="D136" i="1"/>
  <c r="D105" i="1"/>
  <c r="D137" i="1"/>
  <c r="D14" i="1"/>
  <c r="D130" i="1"/>
  <c r="D84" i="1"/>
  <c r="D36" i="1"/>
  <c r="D138" i="1"/>
  <c r="D43" i="1"/>
  <c r="D121" i="1"/>
  <c r="D21" i="1"/>
  <c r="D100" i="1"/>
  <c r="D71" i="1"/>
  <c r="D151" i="1"/>
  <c r="D16" i="1"/>
  <c r="D96" i="1"/>
  <c r="D17" i="1"/>
  <c r="D76" i="1"/>
  <c r="D52" i="1"/>
  <c r="D149" i="1"/>
  <c r="D108" i="1"/>
  <c r="D60" i="1"/>
  <c r="D156" i="1"/>
  <c r="D106" i="1"/>
  <c r="D162" i="1"/>
  <c r="D70" i="1"/>
  <c r="D133" i="1"/>
  <c r="D79" i="1"/>
  <c r="D159" i="1"/>
  <c r="D24" i="1"/>
  <c r="D104" i="1"/>
  <c r="D41" i="1"/>
  <c r="D90" i="1"/>
  <c r="D77" i="1"/>
  <c r="D29" i="1"/>
  <c r="D131" i="1"/>
  <c r="D99" i="1"/>
  <c r="D27" i="1"/>
  <c r="D117" i="1"/>
  <c r="D30" i="1"/>
  <c r="D98" i="1"/>
  <c r="D145" i="1"/>
  <c r="D47" i="1"/>
  <c r="D81" i="1"/>
  <c r="D152" i="1"/>
  <c r="D157" i="1"/>
  <c r="D19" i="1"/>
  <c r="D86" i="1"/>
  <c r="D93" i="1"/>
  <c r="D74" i="1"/>
  <c r="D168" i="1"/>
  <c r="D32" i="1"/>
  <c r="D102" i="1"/>
  <c r="D66" i="1"/>
  <c r="D64" i="1"/>
  <c r="D42" i="1"/>
  <c r="D158" i="1"/>
  <c r="D124" i="1"/>
  <c r="D127" i="1"/>
  <c r="D67" i="1"/>
  <c r="D163" i="1"/>
  <c r="D135" i="1"/>
  <c r="D20" i="1"/>
  <c r="D55" i="1"/>
  <c r="D97" i="1"/>
  <c r="D160" i="1"/>
  <c r="D169" i="1"/>
  <c r="D58" i="1"/>
  <c r="D114" i="1"/>
  <c r="D118" i="1"/>
  <c r="D85" i="1"/>
  <c r="D113" i="1"/>
  <c r="D38" i="1"/>
  <c r="D83" i="1"/>
  <c r="D134" i="1"/>
  <c r="D140" i="1"/>
  <c r="D110" i="1"/>
  <c r="D87" i="1"/>
  <c r="D57" i="1"/>
  <c r="D153" i="1"/>
  <c r="D44" i="1"/>
  <c r="D22" i="1"/>
  <c r="D119" i="1"/>
  <c r="D26" i="1"/>
  <c r="D109" i="1"/>
  <c r="D141" i="1"/>
  <c r="D72" i="1"/>
  <c r="D37" i="1"/>
  <c r="D132" i="1"/>
  <c r="D28" i="1"/>
  <c r="D146" i="1"/>
  <c r="D80" i="1"/>
  <c r="D92" i="1"/>
  <c r="D154" i="1"/>
  <c r="D53" i="1"/>
  <c r="D63" i="1"/>
  <c r="D167" i="1"/>
  <c r="D112" i="1"/>
  <c r="D101" i="1"/>
  <c r="D54" i="1"/>
  <c r="D123" i="1"/>
  <c r="D139" i="1"/>
  <c r="D122" i="1"/>
  <c r="D65" i="1"/>
  <c r="D144" i="1"/>
  <c r="D147" i="1"/>
  <c r="D150" i="1"/>
  <c r="D61" i="1"/>
  <c r="D68" i="1"/>
  <c r="D46" i="1"/>
  <c r="D51" i="1"/>
  <c r="D166" i="1"/>
  <c r="D143" i="1"/>
  <c r="D88" i="1"/>
  <c r="D62" i="1"/>
  <c r="D129" i="1"/>
  <c r="D35" i="1"/>
  <c r="D78" i="1"/>
  <c r="D45" i="1"/>
  <c r="G51" i="1"/>
  <c r="G131" i="1"/>
  <c r="G93" i="1"/>
  <c r="G60" i="1"/>
  <c r="G140" i="1"/>
  <c r="G125" i="1"/>
  <c r="G104" i="1"/>
  <c r="G119" i="1"/>
  <c r="G32" i="1"/>
  <c r="G23" i="1"/>
  <c r="G138" i="1"/>
  <c r="G80" i="1"/>
  <c r="G18" i="1"/>
  <c r="G86" i="1"/>
  <c r="G24" i="1"/>
  <c r="G142" i="1"/>
  <c r="G133" i="1"/>
  <c r="G76" i="1"/>
  <c r="G156" i="1"/>
  <c r="G157" i="1"/>
  <c r="G129" i="1"/>
  <c r="G169" i="1"/>
  <c r="G96" i="1"/>
  <c r="G87" i="1"/>
  <c r="G25" i="1"/>
  <c r="G130" i="1"/>
  <c r="G57" i="1"/>
  <c r="G136" i="1"/>
  <c r="G74" i="1"/>
  <c r="G59" i="1"/>
  <c r="G139" i="1"/>
  <c r="G109" i="1"/>
  <c r="G68" i="1"/>
  <c r="G148" i="1"/>
  <c r="G141" i="1"/>
  <c r="G118" i="1"/>
  <c r="G144" i="1"/>
  <c r="G71" i="1"/>
  <c r="G62" i="1"/>
  <c r="G166" i="1"/>
  <c r="G105" i="1"/>
  <c r="G46" i="1"/>
  <c r="G111" i="1"/>
  <c r="G49" i="1"/>
  <c r="G167" i="1"/>
  <c r="G67" i="1"/>
  <c r="G147" i="1"/>
  <c r="G27" i="1"/>
  <c r="G107" i="1"/>
  <c r="G53" i="1"/>
  <c r="G36" i="1"/>
  <c r="G116" i="1"/>
  <c r="G77" i="1"/>
  <c r="G65" i="1"/>
  <c r="G41" i="1"/>
  <c r="G120" i="1"/>
  <c r="G97" i="1"/>
  <c r="G63" i="1"/>
  <c r="G153" i="1"/>
  <c r="G106" i="1"/>
  <c r="G22" i="1"/>
  <c r="G98" i="1"/>
  <c r="G78" i="1"/>
  <c r="G35" i="1"/>
  <c r="G115" i="1"/>
  <c r="G69" i="1"/>
  <c r="G44" i="1"/>
  <c r="G124" i="1"/>
  <c r="G101" i="1"/>
  <c r="G79" i="1"/>
  <c r="G66" i="1"/>
  <c r="G145" i="1"/>
  <c r="G122" i="1"/>
  <c r="G88" i="1"/>
  <c r="G30" i="1"/>
  <c r="G134" i="1"/>
  <c r="G137" i="1"/>
  <c r="G103" i="1"/>
  <c r="G83" i="1"/>
  <c r="G165" i="1"/>
  <c r="G29" i="1"/>
  <c r="G154" i="1"/>
  <c r="G160" i="1"/>
  <c r="G64" i="1"/>
  <c r="G110" i="1"/>
  <c r="G102" i="1"/>
  <c r="G16" i="1"/>
  <c r="E12" i="1"/>
  <c r="G123" i="1"/>
  <c r="G94" i="1"/>
  <c r="G47" i="1"/>
  <c r="G84" i="1"/>
  <c r="G17" i="1"/>
  <c r="G158" i="1"/>
  <c r="G58" i="1"/>
  <c r="G163" i="1"/>
  <c r="G26" i="1"/>
  <c r="G126" i="1"/>
  <c r="G161" i="1"/>
  <c r="G100" i="1"/>
  <c r="G56" i="1"/>
  <c r="G91" i="1"/>
  <c r="G20" i="1"/>
  <c r="G45" i="1"/>
  <c r="G168" i="1"/>
  <c r="G33" i="1"/>
  <c r="G89" i="1"/>
  <c r="G121" i="1"/>
  <c r="G127" i="1"/>
  <c r="G99" i="1"/>
  <c r="G28" i="1"/>
  <c r="G61" i="1"/>
  <c r="G72" i="1"/>
  <c r="G114" i="1"/>
  <c r="G146" i="1"/>
  <c r="G152" i="1"/>
  <c r="G52" i="1"/>
  <c r="G117" i="1"/>
  <c r="G150" i="1"/>
  <c r="G55" i="1"/>
  <c r="G50" i="1"/>
  <c r="G155" i="1"/>
  <c r="G15" i="1"/>
  <c r="G112" i="1"/>
  <c r="G128" i="1"/>
  <c r="G92" i="1"/>
  <c r="G42" i="1"/>
  <c r="G31" i="1"/>
  <c r="G21" i="1"/>
  <c r="G70" i="1"/>
  <c r="G34" i="1"/>
  <c r="G43" i="1"/>
  <c r="G85" i="1"/>
  <c r="G132" i="1"/>
  <c r="G90" i="1"/>
  <c r="G14" i="1"/>
  <c r="G113" i="1"/>
  <c r="G159" i="1"/>
  <c r="G73" i="1"/>
  <c r="G75" i="1"/>
  <c r="G149" i="1"/>
  <c r="G164" i="1"/>
  <c r="G143" i="1"/>
  <c r="G135" i="1"/>
  <c r="G39" i="1"/>
  <c r="G82" i="1"/>
  <c r="G162" i="1"/>
  <c r="G40" i="1"/>
  <c r="G151" i="1"/>
  <c r="G54" i="1"/>
  <c r="G95" i="1"/>
  <c r="G38" i="1"/>
  <c r="G81" i="1"/>
  <c r="G48" i="1"/>
  <c r="G19" i="1"/>
  <c r="G37" i="1"/>
  <c r="G108" i="1"/>
  <c r="J79" i="1"/>
  <c r="J159" i="1"/>
  <c r="J161" i="1"/>
  <c r="J88" i="1"/>
  <c r="J168" i="1"/>
  <c r="J153" i="1"/>
  <c r="J118" i="1"/>
  <c r="J147" i="1"/>
  <c r="J110" i="1"/>
  <c r="J62" i="1"/>
  <c r="J166" i="1"/>
  <c r="J34" i="1"/>
  <c r="J124" i="1"/>
  <c r="J90" i="1"/>
  <c r="J28" i="1"/>
  <c r="J15" i="1"/>
  <c r="J95" i="1"/>
  <c r="J25" i="1"/>
  <c r="J24" i="1"/>
  <c r="J104" i="1"/>
  <c r="J33" i="1"/>
  <c r="J18" i="1"/>
  <c r="J146" i="1"/>
  <c r="J45" i="1"/>
  <c r="J163" i="1"/>
  <c r="J101" i="1"/>
  <c r="J92" i="1"/>
  <c r="J98" i="1"/>
  <c r="J36" i="1"/>
  <c r="J140" i="1"/>
  <c r="J67" i="1"/>
  <c r="J87" i="1"/>
  <c r="J167" i="1"/>
  <c r="J16" i="1"/>
  <c r="J96" i="1"/>
  <c r="J17" i="1"/>
  <c r="J169" i="1"/>
  <c r="J132" i="1"/>
  <c r="J20" i="1"/>
  <c r="J138" i="1"/>
  <c r="J76" i="1"/>
  <c r="J42" i="1"/>
  <c r="J59" i="1"/>
  <c r="J149" i="1"/>
  <c r="J115" i="1"/>
  <c r="J53" i="1"/>
  <c r="J55" i="1"/>
  <c r="J135" i="1"/>
  <c r="J113" i="1"/>
  <c r="J64" i="1"/>
  <c r="J144" i="1"/>
  <c r="J105" i="1"/>
  <c r="J82" i="1"/>
  <c r="J83" i="1"/>
  <c r="J148" i="1"/>
  <c r="J139" i="1"/>
  <c r="J102" i="1"/>
  <c r="J108" i="1"/>
  <c r="J60" i="1"/>
  <c r="J150" i="1"/>
  <c r="J91" i="1"/>
  <c r="J14" i="1"/>
  <c r="J63" i="1"/>
  <c r="J143" i="1"/>
  <c r="J129" i="1"/>
  <c r="J72" i="1"/>
  <c r="J152" i="1"/>
  <c r="J121" i="1"/>
  <c r="J93" i="1"/>
  <c r="J94" i="1"/>
  <c r="J103" i="1"/>
  <c r="J32" i="1"/>
  <c r="J41" i="1"/>
  <c r="J157" i="1"/>
  <c r="J85" i="1"/>
  <c r="J66" i="1"/>
  <c r="J162" i="1"/>
  <c r="J51" i="1"/>
  <c r="J142" i="1"/>
  <c r="J21" i="1"/>
  <c r="J119" i="1"/>
  <c r="J73" i="1"/>
  <c r="J44" i="1"/>
  <c r="J141" i="1"/>
  <c r="J38" i="1"/>
  <c r="J127" i="1"/>
  <c r="J89" i="1"/>
  <c r="J131" i="1"/>
  <c r="J52" i="1"/>
  <c r="J151" i="1"/>
  <c r="J80" i="1"/>
  <c r="J122" i="1"/>
  <c r="J114" i="1"/>
  <c r="J99" i="1"/>
  <c r="J23" i="1"/>
  <c r="J112" i="1"/>
  <c r="J29" i="1"/>
  <c r="J164" i="1"/>
  <c r="J50" i="1"/>
  <c r="J120" i="1"/>
  <c r="J111" i="1"/>
  <c r="J40" i="1"/>
  <c r="J57" i="1"/>
  <c r="J19" i="1"/>
  <c r="J22" i="1"/>
  <c r="J130" i="1"/>
  <c r="J165" i="1"/>
  <c r="H12" i="1"/>
  <c r="J48" i="1"/>
  <c r="J61" i="1"/>
  <c r="J46" i="1"/>
  <c r="J56" i="1"/>
  <c r="J58" i="1"/>
  <c r="J86" i="1"/>
  <c r="J74" i="1"/>
  <c r="J137" i="1"/>
  <c r="J156" i="1"/>
  <c r="J77" i="1"/>
  <c r="J49" i="1"/>
  <c r="J70" i="1"/>
  <c r="J30" i="1"/>
  <c r="J116" i="1"/>
  <c r="J65" i="1"/>
  <c r="J47" i="1"/>
  <c r="J97" i="1"/>
  <c r="J136" i="1"/>
  <c r="J68" i="1"/>
  <c r="J134" i="1"/>
  <c r="J154" i="1"/>
  <c r="J158" i="1"/>
  <c r="J125" i="1"/>
  <c r="J106" i="1"/>
  <c r="J71" i="1"/>
  <c r="J145" i="1"/>
  <c r="J160" i="1"/>
  <c r="J107" i="1"/>
  <c r="J35" i="1"/>
  <c r="J27" i="1"/>
  <c r="J123" i="1"/>
  <c r="J26" i="1"/>
  <c r="J117" i="1"/>
  <c r="J31" i="1"/>
  <c r="J84" i="1"/>
  <c r="J109" i="1"/>
  <c r="J37" i="1"/>
  <c r="J126" i="1"/>
  <c r="J69" i="1"/>
  <c r="J39" i="1"/>
  <c r="J133" i="1"/>
  <c r="J81" i="1"/>
  <c r="J75" i="1"/>
  <c r="J128" i="1"/>
  <c r="J100" i="1"/>
  <c r="J43" i="1"/>
  <c r="J155" i="1"/>
  <c r="J54" i="1"/>
  <c r="J78"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07">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futureMetadata>
  <cellMetadata count="1">
    <bk>
      <rc t="1" v="0"/>
    </bk>
  </cellMetadata>
  <valueMetadata count="607">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valueMetadata>
</metadata>
</file>

<file path=xl/sharedStrings.xml><?xml version="1.0" encoding="utf-8"?>
<sst xmlns="http://schemas.openxmlformats.org/spreadsheetml/2006/main" count="17" uniqueCount="13">
  <si>
    <t>Ticker of Comp 1</t>
  </si>
  <si>
    <t>Ticker of Comp 2</t>
  </si>
  <si>
    <t>Ticker of Comp 3</t>
  </si>
  <si>
    <t>Start Date</t>
  </si>
  <si>
    <t>End Date</t>
  </si>
  <si>
    <t>Company Website:</t>
  </si>
  <si>
    <t>CF Industries: A Leading Global Manufacturer of Hydrogen and Nitrogen Products | CF Industries</t>
  </si>
  <si>
    <t>Welcome to CVR Partners - CVR Partners, LP</t>
  </si>
  <si>
    <t>American Vanguard Corporation - Investor Relations</t>
  </si>
  <si>
    <t>American Vanguard Corporation</t>
  </si>
  <si>
    <t>CF Industries</t>
  </si>
  <si>
    <t>CVR Partners, LP</t>
  </si>
  <si>
    <t>Weekly Return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</si>
</sst>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2">
    <fill>
      <patternFill patternType="none"/>
    </fill>
    <fill>
      <patternFill patternType="gray125"/>
    </fill>
  </fills>
  <borders count="6">
    <border>
      <left/>
      <right/>
      <top/>
      <bottom/>
      <diagonal/>
    </border>
    <border>
      <left/>
      <right style="thin">
        <color indexed="64"/>
      </right>
      <top/>
      <bottom/>
      <diagonal/>
    </border>
    <border>
      <left style="thin">
        <color indexed="64"/>
      </left>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0" borderId="0" xfId="0" applyFont="1"/>
    <xf numFmtId="14" fontId="0" fillId="0" borderId="0" xfId="0" applyNumberFormat="1"/>
    <xf numFmtId="0" fontId="3" fillId="0" borderId="0" xfId="1"/>
    <xf numFmtId="0" fontId="1" fillId="0" borderId="1" xfId="0" applyFont="1" applyBorder="1"/>
    <xf numFmtId="0" fontId="0" fillId="0" borderId="1" xfId="0" applyBorder="1"/>
    <xf numFmtId="0" fontId="1" fillId="0" borderId="2" xfId="0" applyFont="1" applyBorder="1"/>
    <xf numFmtId="0" fontId="0" fillId="0" borderId="2" xfId="0" applyBorder="1"/>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Array" Target="richData/rdarray.xml"/><Relationship Id="rId13" Type="http://schemas.openxmlformats.org/officeDocument/2006/relationships/calcChain" Target="calcChain.xml"/><Relationship Id="rId3" Type="http://schemas.openxmlformats.org/officeDocument/2006/relationships/styles" Target="styles.xml"/><Relationship Id="rId7" Type="http://schemas.microsoft.com/office/2017/06/relationships/rdRichValueStructure" Target="richData/rdrichvaluestructure.xml"/><Relationship Id="rId12" Type="http://schemas.microsoft.com/office/2017/06/relationships/rdRichValueTypes" Target="richData/rdRichValueTyp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SupportingPropertyBag" Target="richData/rdsupportingpropertybag.xml"/><Relationship Id="rId5" Type="http://schemas.openxmlformats.org/officeDocument/2006/relationships/sheetMetadata" Target="metadata.xml"/><Relationship Id="rId10" Type="http://schemas.microsoft.com/office/2017/06/relationships/rdSupportingPropertyBagStructure" Target="richData/rdsupportingpropertybagstructure.xml"/><Relationship Id="rId4" Type="http://schemas.openxmlformats.org/officeDocument/2006/relationships/sharedStrings" Target="sharedStrings.xml"/><Relationship Id="rId9" Type="http://schemas.microsoft.com/office/2017/06/relationships/richStyles" Target="richData/richStyl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4">
  <a r="1" c="157">
    <v t="i">2</v>
    <v t="i">8</v>
    <v t="i">16</v>
    <v t="i">22</v>
    <v t="i">29</v>
    <v t="i">36</v>
    <v t="i">43</v>
    <v t="i">51</v>
    <v t="i">57</v>
    <v t="i">64</v>
    <v t="i">71</v>
    <v t="i">78</v>
    <v t="i">85</v>
    <v t="i">92</v>
    <v t="i">99</v>
    <v t="i">106</v>
    <v t="i">113</v>
    <v t="i">120</v>
    <v t="i">127</v>
    <v t="i">134</v>
    <v t="i">141</v>
    <v t="i">149</v>
    <v t="i">155</v>
    <v t="i">162</v>
    <v t="i">170</v>
    <v t="i">176</v>
    <v t="i">183</v>
    <v t="i">190</v>
    <v t="i">197</v>
    <v t="i">204</v>
    <v t="i">211</v>
    <v t="i">218</v>
    <v t="i">225</v>
    <v t="i">232</v>
    <v t="i">239</v>
    <v t="i">247</v>
    <v t="i">253</v>
    <v t="i">260</v>
    <v t="i">267</v>
    <v t="i">274</v>
    <v t="i">281</v>
    <v t="i">288</v>
    <v t="i">295</v>
    <v t="i">302</v>
    <v t="i">309</v>
    <v t="i">316</v>
    <v t="i">323</v>
    <v t="i">330</v>
    <v t="i">337</v>
    <v t="i">344</v>
    <v t="i">351</v>
    <v t="i">359</v>
    <v t="i">366</v>
    <v t="i">372</v>
    <v t="i">380</v>
    <v t="i">386</v>
    <v t="i">393</v>
    <v t="i">400</v>
    <v t="i">407</v>
    <v t="i">415</v>
    <v t="i">421</v>
    <v t="i">428</v>
    <v t="i">435</v>
    <v t="i">442</v>
    <v t="i">449</v>
    <v t="i">456</v>
    <v t="i">463</v>
    <v t="i">470</v>
    <v t="i">477</v>
    <v t="i">484</v>
    <v t="i">491</v>
    <v t="i">498</v>
    <v t="i">505</v>
    <v t="i">513</v>
    <v t="i">519</v>
    <v t="i">526</v>
    <v t="i">533</v>
    <v t="i">540</v>
    <v t="i">547</v>
    <v t="i">554</v>
    <v t="i">561</v>
    <v t="i">568</v>
    <v t="i">575</v>
    <v t="i">582</v>
    <v t="i">589</v>
    <v t="i">596</v>
    <v t="i">603</v>
    <v t="i">611</v>
    <v t="i">617</v>
    <v t="i">624</v>
    <v t="i">631</v>
    <v t="i">638</v>
    <v t="i">645</v>
    <v t="i">652</v>
    <v t="i">659</v>
    <v t="i">666</v>
    <v t="i">673</v>
    <v t="i">680</v>
    <v t="i">687</v>
    <v t="i">694</v>
    <v t="i">701</v>
    <v t="i">708</v>
    <v t="i">715</v>
    <v t="i">722</v>
    <v t="i">729</v>
    <v t="i">736</v>
    <v t="i">743</v>
    <v t="i">751</v>
    <v t="i">757</v>
    <v t="i">764</v>
    <v t="i">771</v>
    <v t="i">779</v>
    <v t="i">785</v>
    <v t="i">792</v>
    <v t="i">799</v>
    <v t="i">806</v>
    <v t="i">813</v>
    <v t="i">820</v>
    <v t="i">827</v>
    <v t="i">834</v>
    <v t="i">841</v>
    <v t="i">848</v>
    <v t="i">855</v>
    <v t="i">862</v>
    <v t="i">869</v>
    <v t="i">877</v>
    <v t="i">883</v>
    <v t="i">890</v>
    <v t="i">897</v>
    <v t="i">904</v>
    <v t="i">911</v>
    <v t="i">918</v>
    <v t="i">925</v>
    <v t="i">932</v>
    <v t="i">939</v>
    <v t="i">946</v>
    <v t="i">953</v>
    <v t="i">960</v>
    <v t="i">967</v>
    <v t="i">975</v>
    <v t="i">981</v>
    <v t="i">988</v>
    <v t="i">995</v>
    <v t="i">1002</v>
    <v t="i">1009</v>
    <v t="i">1016</v>
    <v t="i">1023</v>
    <v t="i">1030</v>
    <v t="i">1037</v>
    <v t="i">1044</v>
    <v t="i">1051</v>
    <v t="i">1058</v>
    <v t="i">1065</v>
    <v t="i">1072</v>
    <v t="i">1079</v>
    <v t="i">1086</v>
    <v t="i">1093</v>
  </a>
  <a r="1" c="157">
    <v>103.36</v>
    <v>104.45</v>
    <v>101.59</v>
    <v>102.64</v>
    <v>91.82</v>
    <v>97.39</v>
    <v>97.33</v>
    <v>108.87</v>
    <v>102.45</v>
    <v>93.52</v>
    <v>81.73</v>
    <v>86.93</v>
    <v>89.17</v>
    <v>85.64</v>
    <v>93.89</v>
    <v>91.5</v>
    <v>89.71</v>
    <v>101.95</v>
    <v>84.03</v>
    <v>84.27</v>
    <v>81.81</v>
    <v>82.33</v>
    <v>84.76</v>
    <v>83.75</v>
    <v>81.56</v>
    <v>80.680000000000007</v>
    <v>83.75</v>
    <v>84.76</v>
    <v>90.2</v>
    <v>90.44</v>
    <v>88.92</v>
    <v>82.41</v>
    <v>79.95</v>
    <v>76.8</v>
    <v>76.650000000000006</v>
    <v>78.680000000000007</v>
    <v>81.19</v>
    <v>80.349999999999994</v>
    <v>82.61</v>
    <v>80.56</v>
    <v>82.87</v>
    <v>80.87</v>
    <v>78.239999999999995</v>
    <v>80.180000000000007</v>
    <v>77.8</v>
    <v>74.66</v>
    <v>70.41</v>
    <v>69.48</v>
    <v>66.17</v>
    <v>67.319999999999993</v>
    <v>69.73</v>
    <v>65.5</v>
    <v>69.55</v>
    <v>68.58</v>
    <v>66.680000000000007</v>
    <v>69.8</v>
    <v>71.28</v>
    <v>72.33</v>
    <v>72.400000000000006</v>
    <v>68.63</v>
    <v>66.41</v>
    <v>65.319999999999993</v>
    <v>64.58</v>
    <v>77.010000000000005</v>
    <v>78.59</v>
    <v>80.650000000000006</v>
    <v>78.55</v>
    <v>76.58</v>
    <v>81.87</v>
    <v>80.75</v>
    <v>78.349999999999994</v>
    <v>85.52</v>
    <v>82</v>
    <v>81.790000000000006</v>
    <v>80.3</v>
    <v>77</v>
    <v>75.63</v>
    <v>75.66</v>
    <v>78.75</v>
    <v>79.790000000000006</v>
    <v>78.459999999999994</v>
    <v>78.44</v>
    <v>74.2</v>
    <v>73.75</v>
    <v>73</v>
    <v>70.739999999999995</v>
    <v>70.239999999999995</v>
    <v>67.17</v>
    <v>67.56</v>
    <v>69.95</v>
    <v>67.400000000000006</v>
    <v>68.81</v>
    <v>71.069999999999993</v>
    <v>73.849999999999994</v>
    <v>70.7</v>
    <v>65.91</v>
    <v>69.040000000000006</v>
    <v>72.37</v>
    <v>71.81</v>
    <v>81.599999999999994</v>
    <v>77.11</v>
    <v>75.14</v>
    <v>74.209999999999994</v>
    <v>75.25</v>
    <v>76.97</v>
    <v>75.069999999999993</v>
    <v>83.94</v>
    <v>82.34</v>
    <v>81.5</v>
    <v>79.5</v>
    <v>77.400000000000006</v>
    <v>79.739999999999995</v>
    <v>77.790000000000006</v>
    <v>76.5</v>
    <v>75.73</v>
    <v>75.38</v>
    <v>74.849999999999994</v>
    <v>69.58</v>
    <v>72</v>
    <v>74.44</v>
    <v>78.5</v>
    <v>79.56</v>
    <v>82.94</v>
    <v>82</v>
    <v>81.7</v>
    <v>82.75</v>
    <v>82.18</v>
    <v>83.87</v>
    <v>89.62</v>
    <v>88.25</v>
    <v>88.93</v>
    <v>90.28</v>
    <v>88.6</v>
    <v>89.36</v>
    <v>95.68</v>
    <v>96.53</v>
    <v>91.28</v>
    <v>90.05</v>
    <v>89.73</v>
    <v>87.98</v>
    <v>88.01</v>
    <v>91.02</v>
    <v>90.81</v>
    <v>92.97</v>
    <v>92.57</v>
    <v>90.3</v>
    <v>93.52</v>
    <v>94.69</v>
    <v>99.67</v>
    <v>99.17</v>
    <v>97.44</v>
    <v>96.56</v>
    <v>94.27</v>
    <v>95.49</v>
    <v>95.48</v>
    <v>97.24</v>
    <v>101.5</v>
  </a>
  <a r="1" c="157">
    <v>84.41</v>
    <v>86.91</v>
    <v>86.48</v>
    <v>83.08</v>
    <v>85.93</v>
    <v>90.49</v>
    <v>82.35</v>
    <v>85.59</v>
    <v>86.16</v>
    <v>78.47</v>
    <v>70.930000000000007</v>
    <v>69.3</v>
    <v>72.489999999999995</v>
    <v>71.459999999999994</v>
    <v>77.08</v>
    <v>74.44</v>
    <v>71.58</v>
    <v>69.64</v>
    <v>66.53</v>
    <v>66.22</v>
    <v>62.85</v>
    <v>62.91</v>
    <v>67.97</v>
    <v>71.27</v>
    <v>70.56</v>
    <v>69.42</v>
    <v>71.849999999999994</v>
    <v>73.739999999999995</v>
    <v>79.040000000000006</v>
    <v>81.23</v>
    <v>81.239999999999995</v>
    <v>79.89</v>
    <v>79.05</v>
    <v>73.58</v>
    <v>79.209999999999994</v>
    <v>83.74</v>
    <v>82.1</v>
    <v>84.21</v>
    <v>85.74</v>
    <v>80.91</v>
    <v>84.55</v>
    <v>82.98</v>
    <v>79.88</v>
    <v>81.55</v>
    <v>79.53</v>
    <v>77.459999999999994</v>
    <v>78.36</v>
    <v>76.31</v>
    <v>76.56</v>
    <v>76.239999999999995</v>
    <v>80.45</v>
    <v>79.5</v>
    <v>81.14</v>
    <v>77.19</v>
    <v>74.989999999999995</v>
    <v>77.489999999999995</v>
    <v>76.52</v>
    <v>78.08</v>
    <v>77.7</v>
    <v>80.41</v>
    <v>82.5</v>
    <v>84.34</v>
    <v>83.42</v>
    <v>83.66</v>
    <v>83.21</v>
    <v>85.11</v>
    <v>78.099999999999994</v>
    <v>79.47</v>
    <v>80</v>
    <v>74.09</v>
    <v>73.95</v>
    <v>76.22</v>
    <v>77.510000000000005</v>
    <v>79.73</v>
    <v>77.86</v>
    <v>73.260000000000005</v>
    <v>73.11</v>
    <v>74.12</v>
    <v>70.14</v>
    <v>70.64</v>
    <v>71.739999999999995</v>
    <v>75.040000000000006</v>
    <v>73.22</v>
    <v>79.790000000000006</v>
    <v>80.97</v>
    <v>80.41</v>
    <v>83.09</v>
    <v>78.56</v>
    <v>79.150000000000006</v>
    <v>81.61</v>
    <v>85.64</v>
    <v>90.15</v>
    <v>87.81</v>
    <v>83.99</v>
    <v>83.19</v>
    <v>84.06</v>
    <v>83.71</v>
    <v>87.07</v>
    <v>89.79</v>
    <v>89.66</v>
    <v>88.44</v>
    <v>89.5</v>
    <v>84.98</v>
    <v>84.75</v>
    <v>88.51</v>
    <v>88.76</v>
    <v>97.01</v>
    <v>88.1</v>
    <v>92.21</v>
    <v>84.05</v>
    <v>82.48</v>
    <v>77.900000000000006</v>
    <v>81.02</v>
    <v>77.13</v>
    <v>76.63</v>
    <v>76.78</v>
    <v>77.39</v>
    <v>73.069999999999993</v>
    <v>72</v>
    <v>74.900000000000006</v>
    <v>78.47</v>
    <v>80.599999999999994</v>
    <v>82.41</v>
    <v>87.78</v>
    <v>88.89</v>
    <v>90.71</v>
    <v>92.14</v>
    <v>99.93</v>
    <v>100.36</v>
    <v>90.99</v>
    <v>94.65</v>
    <v>98.24</v>
    <v>92.63</v>
    <v>93.3</v>
    <v>91.56</v>
    <v>80.91</v>
    <v>85.9</v>
    <v>86.51</v>
    <v>86.63</v>
    <v>84.48</v>
    <v>85.63</v>
    <v>85.09</v>
    <v>92.13</v>
    <v>90.09</v>
    <v>87.34</v>
    <v>83.51</v>
    <v>86.47</v>
    <v>83.29</v>
    <v>82.03</v>
    <v>85.04</v>
    <v>78.540000000000006</v>
    <v>78.7</v>
    <v>77.88</v>
    <v>79.19</v>
    <v>78.7</v>
    <v>77.45</v>
    <v>80.13</v>
  </a>
  <a r="1" c="157">
    <v>21.83</v>
    <v>23.16</v>
    <v>23.08</v>
    <v>22.41</v>
    <v>22.43</v>
    <v>21.23</v>
    <v>20.399999999999999</v>
    <v>20.25</v>
    <v>21.3</v>
    <v>20.03</v>
    <v>21.21</v>
    <v>22.01</v>
    <v>21.88</v>
    <v>20.96</v>
    <v>21.38</v>
    <v>20.14</v>
    <v>19.25</v>
    <v>18.78</v>
    <v>16.62</v>
    <v>17.649999999999999</v>
    <v>17.28</v>
    <v>17.87</v>
    <v>17.61</v>
    <v>17.07</v>
    <v>17.22</v>
    <v>17.87</v>
    <v>17.91</v>
    <v>17.77</v>
    <v>17.850000000000001</v>
    <v>17.88</v>
    <v>17.52</v>
    <v>14.98</v>
    <v>15.21</v>
    <v>14.83</v>
    <v>13.76</v>
    <v>13.18</v>
    <v>12.41</v>
    <v>11.59</v>
    <v>10.93</v>
    <v>10.039999999999999</v>
    <v>10.15</v>
    <v>10.09</v>
    <v>9.32</v>
    <v>9.84</v>
    <v>8.99</v>
    <v>9.17</v>
    <v>9.42</v>
    <v>9.99</v>
    <v>10.1</v>
    <v>10.99</v>
    <v>11.21</v>
    <v>10.97</v>
    <v>10.53</v>
    <v>10.15</v>
    <v>9.8699999999999992</v>
    <v>10.79</v>
    <v>11.18</v>
    <v>10.52</v>
    <v>11.17</v>
    <v>10.93</v>
    <v>10.82</v>
    <v>10.83</v>
    <v>12.9</v>
    <v>12.62</v>
    <v>12.95</v>
    <v>12.49</v>
    <v>11.69</v>
    <v>11.11</v>
    <v>11.47</v>
    <v>11.77</v>
    <v>9.14</v>
    <v>9.1</v>
    <v>8.86</v>
    <v>8.69</v>
    <v>8.67</v>
    <v>8.51</v>
    <v>8.7899999999999991</v>
    <v>8.6</v>
    <v>8.27</v>
    <v>8.48</v>
    <v>9.15</v>
    <v>9.56</v>
    <v>8.85</v>
    <v>5.12</v>
    <v>5.7</v>
    <v>5.87</v>
    <v>5.74</v>
    <v>6.26</v>
    <v>6.13</v>
    <v>5.56</v>
    <v>5.27</v>
    <v>5.19</v>
    <v>5.15</v>
    <v>5.46</v>
    <v>5.37</v>
    <v>5.26</v>
    <v>5.77</v>
    <v>6.06</v>
    <v>5.91</v>
    <v>6.01</v>
    <v>5.76</v>
    <v>5.26</v>
    <v>4.4400000000000004</v>
    <v>4.5599999999999996</v>
    <v>4.6399999999999997</v>
    <v>4.5599999999999996</v>
    <v>5.08</v>
    <v>5.66</v>
    <v>6.18</v>
    <v>5.51</v>
    <v>5.41</v>
    <v>5.28</v>
    <v>5.14</v>
    <v>4.68</v>
    <v>4.43</v>
    <v>4.54</v>
    <v>4.43</v>
    <v>3.8</v>
    <v>3.76</v>
    <v>3.8</v>
    <v>4.1100000000000003</v>
    <v>4.25</v>
    <v>4.45</v>
    <v>4.09</v>
    <v>4.1399999999999997</v>
    <v>4.92</v>
    <v>4.9400000000000004</v>
    <v>4.1900000000000004</v>
    <v>3.7</v>
    <v>3.93</v>
    <v>4.1500000000000004</v>
    <v>3.94</v>
    <v>3.47</v>
    <v>3.73</v>
    <v>4.21</v>
    <v>4.6500000000000004</v>
    <v>5.2</v>
    <v>5.44</v>
    <v>5.4</v>
    <v>5.59</v>
    <v>5.62</v>
    <v>5.4</v>
    <v>5.81</v>
    <v>5.42</v>
    <v>5.04</v>
    <v>5.22</v>
    <v>5.35</v>
    <v>4.47</v>
    <v>5.0999999999999996</v>
    <v>5.08</v>
    <v>4.32</v>
    <v>4.66</v>
    <v>4.28</v>
    <v>4.32</v>
    <v>3.89</v>
    <v>4.01</v>
    <v>3.81</v>
  </a>
</arrayData>
</file>

<file path=xl/richData/rdrichvalue.xml><?xml version="1.0" encoding="utf-8"?>
<rvData xmlns="http://schemas.microsoft.com/office/spreadsheetml/2017/richdata" count="616">
  <rv s="0">
    <v>https://www.bing.com/financeapi/forcetrigger?t=a1nyz2&amp;q=XNYS%3aAVD&amp;form=skydnc</v>
    <v>Learn more on Bing</v>
  </rv>
  <rv s="1">
    <v>0</v>
    <v>AMERICAN VANGUARD CORPORATION (XNYS:AVD)</v>
    <v>2</v>
    <v>3</v>
    <v>Finance</v>
    <v>4</v>
    <v>en-US</v>
    <v>a1nyz2</v>
    <v>268435456</v>
    <v>1</v>
    <v>Powered by Refinitiv</v>
    <v>5.92</v>
    <v>2.0499999999999998</v>
    <v>1.5169999999999999</v>
    <v>0</v>
    <v>0</v>
    <v>0.04</v>
    <v>1.3514E-2</v>
    <v>USD</v>
    <v>American Vanguard Corporation is a diversified specialty and agriculture products company, which develops and markets products for crop protection and management, turf and ornamentals management, and public and animal health. It conducts its business through its operating subsidiaries, including AMVAC Chemical Corporation (AMVAC) for its domestic business and AMVAC Netherlands BV (AMVAC BV) for its international business. AMVAC is a manufacturer of chemical, biological and biorational products that develops and markets solutions for agricultural, commercial and consumer uses. It synthesizes and formulates chemicals and ferments and extracts microbial products for crops, turf, ornamental plants, and human and animal health protection. These products, which include insecticides, fungicides, and biorationals, are marketed in liquid, powder, and granular forms. AMVAC BV sells products both directly and through its network of subsidiaries in various international territories.</v>
    <v>739</v>
    <v>New York Stock Exchange</v>
    <v>XNYS</v>
    <v>XNYS</v>
    <v>4695 Macarthur Court, NEWPORT BEACH, CA, 92660 US</v>
    <v>3.01</v>
    <v>Chemicals</v>
    <v>Stock</v>
    <v>46139.845162510937</v>
    <v>0</v>
    <v>2.82</v>
    <v>84483964</v>
    <v>AMERICAN VANGUARD CORPORATION</v>
    <v>AMERICAN VANGUARD CORPORATION</v>
    <v>2.94</v>
    <v>2.96</v>
    <v>2.96</v>
    <v>3</v>
    <v>28541880</v>
    <v>AVD</v>
    <v>AMERICAN VANGUARD CORPORATION (XNYS:AVD)</v>
    <v>203655</v>
    <v>443423</v>
    <v>1969</v>
  </rv>
  <rv s="2">
    <v>1</v>
  </rv>
  <rv s="0">
    <v>https://www.bing.com/financeapi/forcetrigger?t=a1pidm&amp;q=XNYS%3aCF&amp;form=skydnc</v>
    <v>Learn more on Bing</v>
  </rv>
  <rv s="3">
    <v>5</v>
    <v>CF INDUSTRIES HOLDINGS, INC. (XNYS:CF)</v>
    <v>2</v>
    <v>6</v>
    <v>Finance</v>
    <v>7</v>
    <v>en-US</v>
    <v>a1pidm</v>
    <v>268435456</v>
    <v>1</v>
    <v>Powered by Refinitiv</v>
    <v>141.96</v>
    <v>75.415000000000006</v>
    <v>0.40689999999999998</v>
    <v>2.67</v>
    <v>2.2079000000000001E-2</v>
    <v>-0.31</v>
    <v>-2.5069999999999997E-3</v>
    <v>USD</v>
    <v>CF Industries Holdings, Inc. is a global manufacturer of hydrogen and nitrogen products. The Company is focused on decarbonizing its ammonia production network to enable low-carbon hydrogen and nitrogen products for energy, fertilizer, emissions abatement and other industrial activities. The Company's segments include Ammonia, Granular Urea, UAN, AN and Other. Ammonia segment produces anhydrous ammonia (ammonia), which is the base product that it manufactures (containing 82% nitrogen and 18% hydrogen). Granular Urea segment produces granular urea, which contains 46% nitrogen. UAN segment produces urea ammonium nitrate solution (UAN). AN segment produces ammonium nitrate (AN). Other segment primarily includes products, such as diesel exhaust fluid (DEF), urea liquor and nitric acid. Its manufacturing complexes in the United States, Canada, and the United Kingdom, a storage, transportation and distribution network in North America, and logistics capabilities enable a global reach.</v>
    <v>2900</v>
    <v>New York Stock Exchange</v>
    <v>XNYS</v>
    <v>XNYS</v>
    <v>2375 Waterview Drive, NORTHBROOK, IL, 60062 US</v>
    <v>123.89</v>
    <v>Chemicals</v>
    <v>Stock</v>
    <v>46139.879546053126</v>
    <v>3</v>
    <v>120.175</v>
    <v>18986987040</v>
    <v>CF INDUSTRIES HOLDINGS, INC.</v>
    <v>CF INDUSTRIES HOLDINGS, INC.</v>
    <v>122.42</v>
    <v>13.739100000000001</v>
    <v>120.93</v>
    <v>123.6</v>
    <v>123.32</v>
    <v>153616400</v>
    <v>CF</v>
    <v>CF INDUSTRIES HOLDINGS, INC. (XNYS:CF)</v>
    <v>2203593</v>
    <v>4971945</v>
    <v>2005</v>
  </rv>
  <rv s="2">
    <v>4</v>
  </rv>
  <rv s="0">
    <v>https://www.bing.com/financeapi/forcetrigger?t=a24qtc&amp;q=XNYS%3aUAN&amp;form=skydnc</v>
    <v>Learn more on Bing</v>
  </rv>
  <rv s="4">
    <v>8</v>
    <v>CVR PARTNERS UNT (XNYS:UAN)</v>
    <v>9</v>
    <v>10</v>
    <v>Finance</v>
    <v>11</v>
    <v>en-US</v>
    <v>a24qtc</v>
    <v>268435456</v>
    <v>1</v>
    <v>Powered by Refinitiv</v>
    <v>139.5</v>
    <v>77.97</v>
    <v>3.16</v>
    <v>2.4083999999999998E-2</v>
    <v>1.59</v>
    <v>1.1833E-2</v>
    <v>USD</v>
    <v>New York Stock Exchange</v>
    <v>XNYS</v>
    <v>134.99</v>
    <v>ETF</v>
    <v>46139.86823130781</v>
    <v>6</v>
    <v>130.49</v>
    <v>CVR PARTNERS UNT</v>
    <v>130.83000000000001</v>
    <v>131.21</v>
    <v>134.37</v>
    <v>135.96</v>
    <v>UAN</v>
    <v>CVR PARTNERS UNT (XNYS:UAN)</v>
    <v>98096</v>
    <v>81605</v>
  </rv>
  <rv s="2">
    <v>7</v>
  </rv>
  <rv s="5">
    <fb>44929</fb>
    <v>12</v>
  </rv>
  <rv s="5">
    <fb>21.83</fb>
    <v>13</v>
  </rv>
  <rv s="5">
    <fb>84.41</fb>
    <v>13</v>
  </rv>
  <rv s="5">
    <fb>103.36</fb>
    <v>13</v>
  </rv>
  <rv s="5">
    <fb>44935</fb>
    <v>12</v>
  </rv>
  <rv s="5">
    <fb>23.16</fb>
    <v>13</v>
  </rv>
  <rv s="5">
    <fb>86.91</fb>
    <v>13</v>
  </rv>
  <rv s="5">
    <fb>104.45</fb>
    <v>13</v>
  </rv>
  <rv s="5">
    <fb>44943</fb>
    <v>12</v>
  </rv>
  <rv s="5">
    <fb>23.08</fb>
    <v>13</v>
  </rv>
  <rv s="5">
    <fb>86.48</fb>
    <v>13</v>
  </rv>
  <rv s="5">
    <fb>101.59</fb>
    <v>13</v>
  </rv>
  <rv s="5">
    <fb>44949</fb>
    <v>12</v>
  </rv>
  <rv s="5">
    <fb>22.41</fb>
    <v>13</v>
  </rv>
  <rv s="5">
    <fb>83.08</fb>
    <v>13</v>
  </rv>
  <rv s="5">
    <fb>102.64</fb>
    <v>13</v>
  </rv>
  <rv s="5">
    <fb>44956</fb>
    <v>12</v>
  </rv>
  <rv s="5">
    <fb>22.43</fb>
    <v>13</v>
  </rv>
  <rv s="5">
    <fb>85.93</fb>
    <v>13</v>
  </rv>
  <rv s="5">
    <fb>91.82</fb>
    <v>13</v>
  </rv>
  <rv s="5">
    <fb>44963</fb>
    <v>12</v>
  </rv>
  <rv s="5">
    <fb>21.23</fb>
    <v>13</v>
  </rv>
  <rv s="5">
    <fb>90.49</fb>
    <v>13</v>
  </rv>
  <rv s="5">
    <fb>97.39</fb>
    <v>13</v>
  </rv>
  <rv s="5">
    <fb>44970</fb>
    <v>12</v>
  </rv>
  <rv s="5">
    <fb>20.399999999999999</fb>
    <v>13</v>
  </rv>
  <rv s="5">
    <fb>82.35</fb>
    <v>13</v>
  </rv>
  <rv s="5">
    <fb>97.33</fb>
    <v>13</v>
  </rv>
  <rv s="5">
    <fb>44978</fb>
    <v>12</v>
  </rv>
  <rv s="5">
    <fb>20.25</fb>
    <v>13</v>
  </rv>
  <rv s="5">
    <fb>85.59</fb>
    <v>13</v>
  </rv>
  <rv s="5">
    <fb>108.87</fb>
    <v>13</v>
  </rv>
  <rv s="5">
    <fb>44984</fb>
    <v>12</v>
  </rv>
  <rv s="5">
    <fb>21.3</fb>
    <v>13</v>
  </rv>
  <rv s="5">
    <fb>86.16</fb>
    <v>13</v>
  </rv>
  <rv s="5">
    <fb>102.45</fb>
    <v>13</v>
  </rv>
  <rv s="5">
    <fb>44991</fb>
    <v>12</v>
  </rv>
  <rv s="5">
    <fb>20.03</fb>
    <v>13</v>
  </rv>
  <rv s="5">
    <fb>78.47</fb>
    <v>13</v>
  </rv>
  <rv s="5">
    <fb>93.52</fb>
    <v>13</v>
  </rv>
  <rv s="5">
    <fb>44998</fb>
    <v>12</v>
  </rv>
  <rv s="5">
    <fb>21.21</fb>
    <v>13</v>
  </rv>
  <rv s="5">
    <fb>70.930000000000007</fb>
    <v>13</v>
  </rv>
  <rv s="5">
    <fb>81.73</fb>
    <v>13</v>
  </rv>
  <rv s="5">
    <fb>45005</fb>
    <v>12</v>
  </rv>
  <rv s="5">
    <fb>22.01</fb>
    <v>13</v>
  </rv>
  <rv s="5">
    <fb>69.3</fb>
    <v>13</v>
  </rv>
  <rv s="5">
    <fb>86.93</fb>
    <v>13</v>
  </rv>
  <rv s="5">
    <fb>45012</fb>
    <v>12</v>
  </rv>
  <rv s="5">
    <fb>21.88</fb>
    <v>13</v>
  </rv>
  <rv s="5">
    <fb>72.489999999999995</fb>
    <v>13</v>
  </rv>
  <rv s="5">
    <fb>89.17</fb>
    <v>13</v>
  </rv>
  <rv s="5">
    <fb>45019</fb>
    <v>12</v>
  </rv>
  <rv s="5">
    <fb>20.96</fb>
    <v>13</v>
  </rv>
  <rv s="5">
    <fb>71.459999999999994</fb>
    <v>13</v>
  </rv>
  <rv s="5">
    <fb>85.64</fb>
    <v>13</v>
  </rv>
  <rv s="5">
    <fb>45026</fb>
    <v>12</v>
  </rv>
  <rv s="5">
    <fb>21.38</fb>
    <v>13</v>
  </rv>
  <rv s="5">
    <fb>77.08</fb>
    <v>13</v>
  </rv>
  <rv s="5">
    <fb>93.89</fb>
    <v>13</v>
  </rv>
  <rv s="5">
    <fb>45033</fb>
    <v>12</v>
  </rv>
  <rv s="5">
    <fb>20.14</fb>
    <v>13</v>
  </rv>
  <rv s="5">
    <fb>74.44</fb>
    <v>13</v>
  </rv>
  <rv s="5">
    <fb>91.5</fb>
    <v>13</v>
  </rv>
  <rv s="5">
    <fb>45040</fb>
    <v>12</v>
  </rv>
  <rv s="5">
    <fb>19.25</fb>
    <v>13</v>
  </rv>
  <rv s="5">
    <fb>71.58</fb>
    <v>13</v>
  </rv>
  <rv s="5">
    <fb>89.71</fb>
    <v>13</v>
  </rv>
  <rv s="5">
    <fb>45047</fb>
    <v>12</v>
  </rv>
  <rv s="5">
    <fb>18.78</fb>
    <v>13</v>
  </rv>
  <rv s="5">
    <fb>69.64</fb>
    <v>13</v>
  </rv>
  <rv s="5">
    <fb>101.95</fb>
    <v>13</v>
  </rv>
  <rv s="5">
    <fb>45054</fb>
    <v>12</v>
  </rv>
  <rv s="5">
    <fb>16.62</fb>
    <v>13</v>
  </rv>
  <rv s="5">
    <fb>66.53</fb>
    <v>13</v>
  </rv>
  <rv s="5">
    <fb>84.03</fb>
    <v>13</v>
  </rv>
  <rv s="5">
    <fb>45061</fb>
    <v>12</v>
  </rv>
  <rv s="5">
    <fb>17.649999999999999</fb>
    <v>13</v>
  </rv>
  <rv s="5">
    <fb>66.22</fb>
    <v>13</v>
  </rv>
  <rv s="5">
    <fb>84.27</fb>
    <v>13</v>
  </rv>
  <rv s="5">
    <fb>45068</fb>
    <v>12</v>
  </rv>
  <rv s="5">
    <fb>17.28</fb>
    <v>13</v>
  </rv>
  <rv s="5">
    <fb>62.85</fb>
    <v>13</v>
  </rv>
  <rv s="5">
    <fb>81.81</fb>
    <v>13</v>
  </rv>
  <rv s="5">
    <fb>45076</fb>
    <v>12</v>
  </rv>
  <rv s="5">
    <fb>17.87</fb>
    <v>13</v>
  </rv>
  <rv s="5">
    <fb>62.91</fb>
    <v>13</v>
  </rv>
  <rv s="5">
    <fb>82.33</fb>
    <v>13</v>
  </rv>
  <rv s="5">
    <fb>45082</fb>
    <v>12</v>
  </rv>
  <rv s="5">
    <fb>17.61</fb>
    <v>13</v>
  </rv>
  <rv s="5">
    <fb>67.97</fb>
    <v>13</v>
  </rv>
  <rv s="5">
    <fb>84.76</fb>
    <v>13</v>
  </rv>
  <rv s="5">
    <fb>45089</fb>
    <v>12</v>
  </rv>
  <rv s="5">
    <fb>17.07</fb>
    <v>13</v>
  </rv>
  <rv s="5">
    <fb>71.27</fb>
    <v>13</v>
  </rv>
  <rv s="5">
    <fb>83.75</fb>
    <v>13</v>
  </rv>
  <rv s="5">
    <fb>45097</fb>
    <v>12</v>
  </rv>
  <rv s="5">
    <fb>17.22</fb>
    <v>13</v>
  </rv>
  <rv s="5">
    <fb>70.56</fb>
    <v>13</v>
  </rv>
  <rv s="5">
    <fb>81.56</fb>
    <v>13</v>
  </rv>
  <rv s="5">
    <fb>45103</fb>
    <v>12</v>
  </rv>
  <rv s="5">
    <fb>69.42</fb>
    <v>13</v>
  </rv>
  <rv s="5">
    <fb>80.680000000000007</fb>
    <v>13</v>
  </rv>
  <rv s="5">
    <fb>45110</fb>
    <v>12</v>
  </rv>
  <rv s="5">
    <fb>17.91</fb>
    <v>13</v>
  </rv>
  <rv s="5">
    <fb>71.849999999999994</fb>
    <v>13</v>
  </rv>
  <rv s="5">
    <fb>45117</fb>
    <v>12</v>
  </rv>
  <rv s="5">
    <fb>17.77</fb>
    <v>13</v>
  </rv>
  <rv s="5">
    <fb>73.739999999999995</fb>
    <v>13</v>
  </rv>
  <rv s="5">
    <fb>45124</fb>
    <v>12</v>
  </rv>
  <rv s="5">
    <fb>17.850000000000001</fb>
    <v>13</v>
  </rv>
  <rv s="5">
    <fb>79.040000000000006</fb>
    <v>13</v>
  </rv>
  <rv s="5">
    <fb>90.2</fb>
    <v>13</v>
  </rv>
  <rv s="5">
    <fb>45131</fb>
    <v>12</v>
  </rv>
  <rv s="5">
    <fb>17.88</fb>
    <v>13</v>
  </rv>
  <rv s="5">
    <fb>81.23</fb>
    <v>13</v>
  </rv>
  <rv s="5">
    <fb>90.44</fb>
    <v>13</v>
  </rv>
  <rv s="5">
    <fb>45138</fb>
    <v>12</v>
  </rv>
  <rv s="5">
    <fb>17.52</fb>
    <v>13</v>
  </rv>
  <rv s="5">
    <fb>81.239999999999995</fb>
    <v>13</v>
  </rv>
  <rv s="5">
    <fb>88.92</fb>
    <v>13</v>
  </rv>
  <rv s="5">
    <fb>45145</fb>
    <v>12</v>
  </rv>
  <rv s="5">
    <fb>14.98</fb>
    <v>13</v>
  </rv>
  <rv s="5">
    <fb>79.89</fb>
    <v>13</v>
  </rv>
  <rv s="5">
    <fb>82.41</fb>
    <v>13</v>
  </rv>
  <rv s="5">
    <fb>45152</fb>
    <v>12</v>
  </rv>
  <rv s="5">
    <fb>15.21</fb>
    <v>13</v>
  </rv>
  <rv s="5">
    <fb>79.05</fb>
    <v>13</v>
  </rv>
  <rv s="5">
    <fb>79.95</fb>
    <v>13</v>
  </rv>
  <rv s="5">
    <fb>45159</fb>
    <v>12</v>
  </rv>
  <rv s="5">
    <fb>14.83</fb>
    <v>13</v>
  </rv>
  <rv s="5">
    <fb>73.58</fb>
    <v>13</v>
  </rv>
  <rv s="5">
    <fb>76.8</fb>
    <v>13</v>
  </rv>
  <rv s="5">
    <fb>45166</fb>
    <v>12</v>
  </rv>
  <rv s="5">
    <fb>13.76</fb>
    <v>13</v>
  </rv>
  <rv s="5">
    <fb>79.209999999999994</fb>
    <v>13</v>
  </rv>
  <rv s="5">
    <fb>76.650000000000006</fb>
    <v>13</v>
  </rv>
  <rv s="5">
    <fb>45174</fb>
    <v>12</v>
  </rv>
  <rv s="5">
    <fb>13.18</fb>
    <v>13</v>
  </rv>
  <rv s="5">
    <fb>83.74</fb>
    <v>13</v>
  </rv>
  <rv s="5">
    <fb>78.680000000000007</fb>
    <v>13</v>
  </rv>
  <rv s="5">
    <fb>45180</fb>
    <v>12</v>
  </rv>
  <rv s="5">
    <fb>12.41</fb>
    <v>13</v>
  </rv>
  <rv s="5">
    <fb>82.1</fb>
    <v>13</v>
  </rv>
  <rv s="5">
    <fb>81.19</fb>
    <v>13</v>
  </rv>
  <rv s="5">
    <fb>45187</fb>
    <v>12</v>
  </rv>
  <rv s="5">
    <fb>11.59</fb>
    <v>13</v>
  </rv>
  <rv s="5">
    <fb>84.21</fb>
    <v>13</v>
  </rv>
  <rv s="5">
    <fb>80.349999999999994</fb>
    <v>13</v>
  </rv>
  <rv s="5">
    <fb>45194</fb>
    <v>12</v>
  </rv>
  <rv s="5">
    <fb>10.93</fb>
    <v>13</v>
  </rv>
  <rv s="5">
    <fb>85.74</fb>
    <v>13</v>
  </rv>
  <rv s="5">
    <fb>82.61</fb>
    <v>13</v>
  </rv>
  <rv s="5">
    <fb>45201</fb>
    <v>12</v>
  </rv>
  <rv s="5">
    <fb>10.039999999999999</fb>
    <v>13</v>
  </rv>
  <rv s="5">
    <fb>80.91</fb>
    <v>13</v>
  </rv>
  <rv s="5">
    <fb>80.56</fb>
    <v>13</v>
  </rv>
  <rv s="5">
    <fb>45208</fb>
    <v>12</v>
  </rv>
  <rv s="5">
    <fb>10.15</fb>
    <v>13</v>
  </rv>
  <rv s="5">
    <fb>84.55</fb>
    <v>13</v>
  </rv>
  <rv s="5">
    <fb>82.87</fb>
    <v>13</v>
  </rv>
  <rv s="5">
    <fb>45215</fb>
    <v>12</v>
  </rv>
  <rv s="5">
    <fb>10.09</fb>
    <v>13</v>
  </rv>
  <rv s="5">
    <fb>82.98</fb>
    <v>13</v>
  </rv>
  <rv s="5">
    <fb>80.87</fb>
    <v>13</v>
  </rv>
  <rv s="5">
    <fb>45222</fb>
    <v>12</v>
  </rv>
  <rv s="5">
    <fb>9.32</fb>
    <v>13</v>
  </rv>
  <rv s="5">
    <fb>79.88</fb>
    <v>13</v>
  </rv>
  <rv s="5">
    <fb>78.239999999999995</fb>
    <v>13</v>
  </rv>
  <rv s="5">
    <fb>45229</fb>
    <v>12</v>
  </rv>
  <rv s="5">
    <fb>9.84</fb>
    <v>13</v>
  </rv>
  <rv s="5">
    <fb>81.55</fb>
    <v>13</v>
  </rv>
  <rv s="5">
    <fb>80.180000000000007</fb>
    <v>13</v>
  </rv>
  <rv s="5">
    <fb>45236</fb>
    <v>12</v>
  </rv>
  <rv s="5">
    <fb>8.99</fb>
    <v>13</v>
  </rv>
  <rv s="5">
    <fb>79.53</fb>
    <v>13</v>
  </rv>
  <rv s="5">
    <fb>77.8</fb>
    <v>13</v>
  </rv>
  <rv s="5">
    <fb>45243</fb>
    <v>12</v>
  </rv>
  <rv s="5">
    <fb>9.17</fb>
    <v>13</v>
  </rv>
  <rv s="5">
    <fb>77.459999999999994</fb>
    <v>13</v>
  </rv>
  <rv s="5">
    <fb>74.66</fb>
    <v>13</v>
  </rv>
  <rv s="5">
    <fb>45250</fb>
    <v>12</v>
  </rv>
  <rv s="5">
    <fb>9.42</fb>
    <v>13</v>
  </rv>
  <rv s="5">
    <fb>78.36</fb>
    <v>13</v>
  </rv>
  <rv s="5">
    <fb>70.41</fb>
    <v>13</v>
  </rv>
  <rv s="5">
    <fb>45257</fb>
    <v>12</v>
  </rv>
  <rv s="5">
    <fb>9.99</fb>
    <v>13</v>
  </rv>
  <rv s="5">
    <fb>76.31</fb>
    <v>13</v>
  </rv>
  <rv s="5">
    <fb>69.48</fb>
    <v>13</v>
  </rv>
  <rv s="5">
    <fb>45264</fb>
    <v>12</v>
  </rv>
  <rv s="5">
    <fb>10.1</fb>
    <v>13</v>
  </rv>
  <rv s="5">
    <fb>76.56</fb>
    <v>13</v>
  </rv>
  <rv s="5">
    <fb>66.17</fb>
    <v>13</v>
  </rv>
  <rv s="5">
    <fb>45271</fb>
    <v>12</v>
  </rv>
  <rv s="5">
    <fb>10.99</fb>
    <v>13</v>
  </rv>
  <rv s="5">
    <fb>76.239999999999995</fb>
    <v>13</v>
  </rv>
  <rv s="5">
    <fb>67.319999999999993</fb>
    <v>13</v>
  </rv>
  <rv s="5">
    <fb>45278</fb>
    <v>12</v>
  </rv>
  <rv s="5">
    <fb>11.21</fb>
    <v>13</v>
  </rv>
  <rv s="5">
    <fb>80.45</fb>
    <v>13</v>
  </rv>
  <rv s="5">
    <fb>69.73</fb>
    <v>13</v>
  </rv>
  <rv s="5">
    <fb>45286</fb>
    <v>12</v>
  </rv>
  <rv s="5">
    <fb>10.97</fb>
    <v>13</v>
  </rv>
  <rv s="5">
    <fb>79.5</fb>
    <v>13</v>
  </rv>
  <rv s="5">
    <fb>65.5</fb>
    <v>13</v>
  </rv>
  <rv s="5">
    <fb>45293</fb>
    <v>12</v>
  </rv>
  <rv s="5">
    <fb>10.53</fb>
    <v>13</v>
  </rv>
  <rv s="5">
    <fb>81.14</fb>
    <v>13</v>
  </rv>
  <rv s="5">
    <fb>69.55</fb>
    <v>13</v>
  </rv>
  <rv s="5">
    <fb>45299</fb>
    <v>12</v>
  </rv>
  <rv s="5">
    <fb>77.19</fb>
    <v>13</v>
  </rv>
  <rv s="5">
    <fb>68.58</fb>
    <v>13</v>
  </rv>
  <rv s="5">
    <fb>45307</fb>
    <v>12</v>
  </rv>
  <rv s="5">
    <fb>9.8699999999999992</fb>
    <v>13</v>
  </rv>
  <rv s="5">
    <fb>74.989999999999995</fb>
    <v>13</v>
  </rv>
  <rv s="5">
    <fb>66.680000000000007</fb>
    <v>13</v>
  </rv>
  <rv s="5">
    <fb>45313</fb>
    <v>12</v>
  </rv>
  <rv s="5">
    <fb>10.79</fb>
    <v>13</v>
  </rv>
  <rv s="5">
    <fb>77.489999999999995</fb>
    <v>13</v>
  </rv>
  <rv s="5">
    <fb>69.8</fb>
    <v>13</v>
  </rv>
  <rv s="5">
    <fb>45320</fb>
    <v>12</v>
  </rv>
  <rv s="5">
    <fb>11.18</fb>
    <v>13</v>
  </rv>
  <rv s="5">
    <fb>76.52</fb>
    <v>13</v>
  </rv>
  <rv s="5">
    <fb>71.28</fb>
    <v>13</v>
  </rv>
  <rv s="5">
    <fb>45327</fb>
    <v>12</v>
  </rv>
  <rv s="5">
    <fb>10.52</fb>
    <v>13</v>
  </rv>
  <rv s="5">
    <fb>78.08</fb>
    <v>13</v>
  </rv>
  <rv s="5">
    <fb>72.33</fb>
    <v>13</v>
  </rv>
  <rv s="5">
    <fb>45334</fb>
    <v>12</v>
  </rv>
  <rv s="5">
    <fb>11.17</fb>
    <v>13</v>
  </rv>
  <rv s="5">
    <fb>77.7</fb>
    <v>13</v>
  </rv>
  <rv s="5">
    <fb>72.400000000000006</fb>
    <v>13</v>
  </rv>
  <rv s="5">
    <fb>45342</fb>
    <v>12</v>
  </rv>
  <rv s="5">
    <fb>80.41</fb>
    <v>13</v>
  </rv>
  <rv s="5">
    <fb>68.63</fb>
    <v>13</v>
  </rv>
  <rv s="5">
    <fb>45348</fb>
    <v>12</v>
  </rv>
  <rv s="5">
    <fb>10.82</fb>
    <v>13</v>
  </rv>
  <rv s="5">
    <fb>82.5</fb>
    <v>13</v>
  </rv>
  <rv s="5">
    <fb>66.41</fb>
    <v>13</v>
  </rv>
  <rv s="5">
    <fb>45355</fb>
    <v>12</v>
  </rv>
  <rv s="5">
    <fb>10.83</fb>
    <v>13</v>
  </rv>
  <rv s="5">
    <fb>84.34</fb>
    <v>13</v>
  </rv>
  <rv s="5">
    <fb>65.319999999999993</fb>
    <v>13</v>
  </rv>
  <rv s="5">
    <fb>45362</fb>
    <v>12</v>
  </rv>
  <rv s="5">
    <fb>12.9</fb>
    <v>13</v>
  </rv>
  <rv s="5">
    <fb>83.42</fb>
    <v>13</v>
  </rv>
  <rv s="5">
    <fb>64.58</fb>
    <v>13</v>
  </rv>
  <rv s="5">
    <fb>45369</fb>
    <v>12</v>
  </rv>
  <rv s="5">
    <fb>12.62</fb>
    <v>13</v>
  </rv>
  <rv s="5">
    <fb>83.66</fb>
    <v>13</v>
  </rv>
  <rv s="5">
    <fb>77.010000000000005</fb>
    <v>13</v>
  </rv>
  <rv s="5">
    <fb>45376</fb>
    <v>12</v>
  </rv>
  <rv s="5">
    <fb>12.95</fb>
    <v>13</v>
  </rv>
  <rv s="5">
    <fb>83.21</fb>
    <v>13</v>
  </rv>
  <rv s="5">
    <fb>78.59</fb>
    <v>13</v>
  </rv>
  <rv s="5">
    <fb>45383</fb>
    <v>12</v>
  </rv>
  <rv s="5">
    <fb>12.49</fb>
    <v>13</v>
  </rv>
  <rv s="5">
    <fb>85.11</fb>
    <v>13</v>
  </rv>
  <rv s="5">
    <fb>80.650000000000006</fb>
    <v>13</v>
  </rv>
  <rv s="5">
    <fb>45390</fb>
    <v>12</v>
  </rv>
  <rv s="5">
    <fb>11.69</fb>
    <v>13</v>
  </rv>
  <rv s="5">
    <fb>78.099999999999994</fb>
    <v>13</v>
  </rv>
  <rv s="5">
    <fb>78.55</fb>
    <v>13</v>
  </rv>
  <rv s="5">
    <fb>45397</fb>
    <v>12</v>
  </rv>
  <rv s="5">
    <fb>11.11</fb>
    <v>13</v>
  </rv>
  <rv s="5">
    <fb>79.47</fb>
    <v>13</v>
  </rv>
  <rv s="5">
    <fb>76.58</fb>
    <v>13</v>
  </rv>
  <rv s="5">
    <fb>45404</fb>
    <v>12</v>
  </rv>
  <rv s="5">
    <fb>11.47</fb>
    <v>13</v>
  </rv>
  <rv s="5">
    <fb>80</fb>
    <v>13</v>
  </rv>
  <rv s="5">
    <fb>81.87</fb>
    <v>13</v>
  </rv>
  <rv s="5">
    <fb>45411</fb>
    <v>12</v>
  </rv>
  <rv s="5">
    <fb>11.77</fb>
    <v>13</v>
  </rv>
  <rv s="5">
    <fb>74.09</fb>
    <v>13</v>
  </rv>
  <rv s="5">
    <fb>80.75</fb>
    <v>13</v>
  </rv>
  <rv s="5">
    <fb>45418</fb>
    <v>12</v>
  </rv>
  <rv s="5">
    <fb>9.14</fb>
    <v>13</v>
  </rv>
  <rv s="5">
    <fb>73.95</fb>
    <v>13</v>
  </rv>
  <rv s="5">
    <fb>78.349999999999994</fb>
    <v>13</v>
  </rv>
  <rv s="5">
    <fb>45425</fb>
    <v>12</v>
  </rv>
  <rv s="5">
    <fb>9.1</fb>
    <v>13</v>
  </rv>
  <rv s="5">
    <fb>76.22</fb>
    <v>13</v>
  </rv>
  <rv s="5">
    <fb>85.52</fb>
    <v>13</v>
  </rv>
  <rv s="5">
    <fb>45432</fb>
    <v>12</v>
  </rv>
  <rv s="5">
    <fb>8.86</fb>
    <v>13</v>
  </rv>
  <rv s="5">
    <fb>77.510000000000005</fb>
    <v>13</v>
  </rv>
  <rv s="5">
    <fb>82</fb>
    <v>13</v>
  </rv>
  <rv s="5">
    <fb>45440</fb>
    <v>12</v>
  </rv>
  <rv s="5">
    <fb>8.69</fb>
    <v>13</v>
  </rv>
  <rv s="5">
    <fb>79.73</fb>
    <v>13</v>
  </rv>
  <rv s="5">
    <fb>81.790000000000006</fb>
    <v>13</v>
  </rv>
  <rv s="5">
    <fb>45446</fb>
    <v>12</v>
  </rv>
  <rv s="5">
    <fb>8.67</fb>
    <v>13</v>
  </rv>
  <rv s="5">
    <fb>77.86</fb>
    <v>13</v>
  </rv>
  <rv s="5">
    <fb>80.3</fb>
    <v>13</v>
  </rv>
  <rv s="5">
    <fb>45453</fb>
    <v>12</v>
  </rv>
  <rv s="5">
    <fb>8.51</fb>
    <v>13</v>
  </rv>
  <rv s="5">
    <fb>73.260000000000005</fb>
    <v>13</v>
  </rv>
  <rv s="5">
    <fb>77</fb>
    <v>13</v>
  </rv>
  <rv s="5">
    <fb>45460</fb>
    <v>12</v>
  </rv>
  <rv s="5">
    <fb>8.7899999999999991</fb>
    <v>13</v>
  </rv>
  <rv s="5">
    <fb>73.11</fb>
    <v>13</v>
  </rv>
  <rv s="5">
    <fb>75.63</fb>
    <v>13</v>
  </rv>
  <rv s="5">
    <fb>45467</fb>
    <v>12</v>
  </rv>
  <rv s="5">
    <fb>8.6</fb>
    <v>13</v>
  </rv>
  <rv s="5">
    <fb>74.12</fb>
    <v>13</v>
  </rv>
  <rv s="5">
    <fb>75.66</fb>
    <v>13</v>
  </rv>
  <rv s="5">
    <fb>45474</fb>
    <v>12</v>
  </rv>
  <rv s="5">
    <fb>8.27</fb>
    <v>13</v>
  </rv>
  <rv s="5">
    <fb>70.14</fb>
    <v>13</v>
  </rv>
  <rv s="5">
    <fb>78.75</fb>
    <v>13</v>
  </rv>
  <rv s="5">
    <fb>45481</fb>
    <v>12</v>
  </rv>
  <rv s="5">
    <fb>8.48</fb>
    <v>13</v>
  </rv>
  <rv s="5">
    <fb>70.64</fb>
    <v>13</v>
  </rv>
  <rv s="5">
    <fb>79.790000000000006</fb>
    <v>13</v>
  </rv>
  <rv s="5">
    <fb>45488</fb>
    <v>12</v>
  </rv>
  <rv s="5">
    <fb>9.15</fb>
    <v>13</v>
  </rv>
  <rv s="5">
    <fb>71.739999999999995</fb>
    <v>13</v>
  </rv>
  <rv s="5">
    <fb>78.459999999999994</fb>
    <v>13</v>
  </rv>
  <rv s="5">
    <fb>45495</fb>
    <v>12</v>
  </rv>
  <rv s="5">
    <fb>9.56</fb>
    <v>13</v>
  </rv>
  <rv s="5">
    <fb>75.040000000000006</fb>
    <v>13</v>
  </rv>
  <rv s="5">
    <fb>78.44</fb>
    <v>13</v>
  </rv>
  <rv s="5">
    <fb>45502</fb>
    <v>12</v>
  </rv>
  <rv s="5">
    <fb>8.85</fb>
    <v>13</v>
  </rv>
  <rv s="5">
    <fb>73.22</fb>
    <v>13</v>
  </rv>
  <rv s="5">
    <fb>74.2</fb>
    <v>13</v>
  </rv>
  <rv s="5">
    <fb>45509</fb>
    <v>12</v>
  </rv>
  <rv s="5">
    <fb>5.12</fb>
    <v>13</v>
  </rv>
  <rv s="5">
    <fb>73.75</fb>
    <v>13</v>
  </rv>
  <rv s="5">
    <fb>45516</fb>
    <v>12</v>
  </rv>
  <rv s="5">
    <fb>5.7</fb>
    <v>13</v>
  </rv>
  <rv s="5">
    <fb>80.97</fb>
    <v>13</v>
  </rv>
  <rv s="5">
    <fb>73</fb>
    <v>13</v>
  </rv>
  <rv s="5">
    <fb>45523</fb>
    <v>12</v>
  </rv>
  <rv s="5">
    <fb>5.87</fb>
    <v>13</v>
  </rv>
  <rv s="5">
    <fb>70.739999999999995</fb>
    <v>13</v>
  </rv>
  <rv s="5">
    <fb>45530</fb>
    <v>12</v>
  </rv>
  <rv s="5">
    <fb>5.74</fb>
    <v>13</v>
  </rv>
  <rv s="5">
    <fb>83.09</fb>
    <v>13</v>
  </rv>
  <rv s="5">
    <fb>70.239999999999995</fb>
    <v>13</v>
  </rv>
  <rv s="5">
    <fb>45538</fb>
    <v>12</v>
  </rv>
  <rv s="5">
    <fb>6.26</fb>
    <v>13</v>
  </rv>
  <rv s="5">
    <fb>78.56</fb>
    <v>13</v>
  </rv>
  <rv s="5">
    <fb>67.17</fb>
    <v>13</v>
  </rv>
  <rv s="5">
    <fb>45544</fb>
    <v>12</v>
  </rv>
  <rv s="5">
    <fb>6.13</fb>
    <v>13</v>
  </rv>
  <rv s="5">
    <fb>79.150000000000006</fb>
    <v>13</v>
  </rv>
  <rv s="5">
    <fb>67.56</fb>
    <v>13</v>
  </rv>
  <rv s="5">
    <fb>45551</fb>
    <v>12</v>
  </rv>
  <rv s="5">
    <fb>5.56</fb>
    <v>13</v>
  </rv>
  <rv s="5">
    <fb>81.61</fb>
    <v>13</v>
  </rv>
  <rv s="5">
    <fb>69.95</fb>
    <v>13</v>
  </rv>
  <rv s="5">
    <fb>45558</fb>
    <v>12</v>
  </rv>
  <rv s="5">
    <fb>5.27</fb>
    <v>13</v>
  </rv>
  <rv s="5">
    <fb>67.400000000000006</fb>
    <v>13</v>
  </rv>
  <rv s="5">
    <fb>45565</fb>
    <v>12</v>
  </rv>
  <rv s="5">
    <fb>5.19</fb>
    <v>13</v>
  </rv>
  <rv s="5">
    <fb>90.15</fb>
    <v>13</v>
  </rv>
  <rv s="5">
    <fb>68.81</fb>
    <v>13</v>
  </rv>
  <rv s="5">
    <fb>45572</fb>
    <v>12</v>
  </rv>
  <rv s="5">
    <fb>5.15</fb>
    <v>13</v>
  </rv>
  <rv s="5">
    <fb>87.81</fb>
    <v>13</v>
  </rv>
  <rv s="5">
    <fb>71.069999999999993</fb>
    <v>13</v>
  </rv>
  <rv s="5">
    <fb>45579</fb>
    <v>12</v>
  </rv>
  <rv s="5">
    <fb>5.46</fb>
    <v>13</v>
  </rv>
  <rv s="5">
    <fb>83.99</fb>
    <v>13</v>
  </rv>
  <rv s="5">
    <fb>73.849999999999994</fb>
    <v>13</v>
  </rv>
  <rv s="5">
    <fb>45586</fb>
    <v>12</v>
  </rv>
  <rv s="5">
    <fb>5.37</fb>
    <v>13</v>
  </rv>
  <rv s="5">
    <fb>83.19</fb>
    <v>13</v>
  </rv>
  <rv s="5">
    <fb>70.7</fb>
    <v>13</v>
  </rv>
  <rv s="5">
    <fb>45593</fb>
    <v>12</v>
  </rv>
  <rv s="5">
    <fb>5.26</fb>
    <v>13</v>
  </rv>
  <rv s="5">
    <fb>84.06</fb>
    <v>13</v>
  </rv>
  <rv s="5">
    <fb>65.91</fb>
    <v>13</v>
  </rv>
  <rv s="5">
    <fb>45600</fb>
    <v>12</v>
  </rv>
  <rv s="5">
    <fb>5.77</fb>
    <v>13</v>
  </rv>
  <rv s="5">
    <fb>83.71</fb>
    <v>13</v>
  </rv>
  <rv s="5">
    <fb>69.040000000000006</fb>
    <v>13</v>
  </rv>
  <rv s="5">
    <fb>45607</fb>
    <v>12</v>
  </rv>
  <rv s="5">
    <fb>6.06</fb>
    <v>13</v>
  </rv>
  <rv s="5">
    <fb>87.07</fb>
    <v>13</v>
  </rv>
  <rv s="5">
    <fb>72.37</fb>
    <v>13</v>
  </rv>
  <rv s="5">
    <fb>45614</fb>
    <v>12</v>
  </rv>
  <rv s="5">
    <fb>5.91</fb>
    <v>13</v>
  </rv>
  <rv s="5">
    <fb>89.79</fb>
    <v>13</v>
  </rv>
  <rv s="5">
    <fb>71.81</fb>
    <v>13</v>
  </rv>
  <rv s="5">
    <fb>45621</fb>
    <v>12</v>
  </rv>
  <rv s="5">
    <fb>6.01</fb>
    <v>13</v>
  </rv>
  <rv s="5">
    <fb>89.66</fb>
    <v>13</v>
  </rv>
  <rv s="5">
    <fb>81.599999999999994</fb>
    <v>13</v>
  </rv>
  <rv s="5">
    <fb>45628</fb>
    <v>12</v>
  </rv>
  <rv s="5">
    <fb>5.76</fb>
    <v>13</v>
  </rv>
  <rv s="5">
    <fb>88.44</fb>
    <v>13</v>
  </rv>
  <rv s="5">
    <fb>77.11</fb>
    <v>13</v>
  </rv>
  <rv s="5">
    <fb>45635</fb>
    <v>12</v>
  </rv>
  <rv s="5">
    <fb>89.5</fb>
    <v>13</v>
  </rv>
  <rv s="5">
    <fb>75.14</fb>
    <v>13</v>
  </rv>
  <rv s="5">
    <fb>45642</fb>
    <v>12</v>
  </rv>
  <rv s="5">
    <fb>4.4400000000000004</fb>
    <v>13</v>
  </rv>
  <rv s="5">
    <fb>84.98</fb>
    <v>13</v>
  </rv>
  <rv s="5">
    <fb>74.209999999999994</fb>
    <v>13</v>
  </rv>
  <rv s="5">
    <fb>45649</fb>
    <v>12</v>
  </rv>
  <rv s="5">
    <fb>4.5599999999999996</fb>
    <v>13</v>
  </rv>
  <rv s="5">
    <fb>84.75</fb>
    <v>13</v>
  </rv>
  <rv s="5">
    <fb>75.25</fb>
    <v>13</v>
  </rv>
  <rv s="5">
    <fb>45656</fb>
    <v>12</v>
  </rv>
  <rv s="5">
    <fb>4.6399999999999997</fb>
    <v>13</v>
  </rv>
  <rv s="5">
    <fb>88.51</fb>
    <v>13</v>
  </rv>
  <rv s="5">
    <fb>76.97</fb>
    <v>13</v>
  </rv>
  <rv s="5">
    <fb>45663</fb>
    <v>12</v>
  </rv>
  <rv s="5">
    <fb>88.76</fb>
    <v>13</v>
  </rv>
  <rv s="5">
    <fb>75.069999999999993</fb>
    <v>13</v>
  </rv>
  <rv s="5">
    <fb>45670</fb>
    <v>12</v>
  </rv>
  <rv s="5">
    <fb>5.08</fb>
    <v>13</v>
  </rv>
  <rv s="5">
    <fb>97.01</fb>
    <v>13</v>
  </rv>
  <rv s="5">
    <fb>83.94</fb>
    <v>13</v>
  </rv>
  <rv s="5">
    <fb>45678</fb>
    <v>12</v>
  </rv>
  <rv s="5">
    <fb>5.66</fb>
    <v>13</v>
  </rv>
  <rv s="5">
    <fb>88.1</fb>
    <v>13</v>
  </rv>
  <rv s="5">
    <fb>82.34</fb>
    <v>13</v>
  </rv>
  <rv s="5">
    <fb>45684</fb>
    <v>12</v>
  </rv>
  <rv s="5">
    <fb>6.18</fb>
    <v>13</v>
  </rv>
  <rv s="5">
    <fb>92.21</fb>
    <v>13</v>
  </rv>
  <rv s="5">
    <fb>81.5</fb>
    <v>13</v>
  </rv>
  <rv s="5">
    <fb>45691</fb>
    <v>12</v>
  </rv>
  <rv s="5">
    <fb>5.51</fb>
    <v>13</v>
  </rv>
  <rv s="5">
    <fb>84.05</fb>
    <v>13</v>
  </rv>
  <rv s="5">
    <fb>45698</fb>
    <v>12</v>
  </rv>
  <rv s="5">
    <fb>5.41</fb>
    <v>13</v>
  </rv>
  <rv s="5">
    <fb>82.48</fb>
    <v>13</v>
  </rv>
  <rv s="5">
    <fb>77.400000000000006</fb>
    <v>13</v>
  </rv>
  <rv s="5">
    <fb>45706</fb>
    <v>12</v>
  </rv>
  <rv s="5">
    <fb>5.28</fb>
    <v>13</v>
  </rv>
  <rv s="5">
    <fb>77.900000000000006</fb>
    <v>13</v>
  </rv>
  <rv s="5">
    <fb>79.739999999999995</fb>
    <v>13</v>
  </rv>
  <rv s="5">
    <fb>45712</fb>
    <v>12</v>
  </rv>
  <rv s="5">
    <fb>5.14</fb>
    <v>13</v>
  </rv>
  <rv s="5">
    <fb>81.02</fb>
    <v>13</v>
  </rv>
  <rv s="5">
    <fb>77.790000000000006</fb>
    <v>13</v>
  </rv>
  <rv s="5">
    <fb>45719</fb>
    <v>12</v>
  </rv>
  <rv s="5">
    <fb>4.68</fb>
    <v>13</v>
  </rv>
  <rv s="5">
    <fb>77.13</fb>
    <v>13</v>
  </rv>
  <rv s="5">
    <fb>76.5</fb>
    <v>13</v>
  </rv>
  <rv s="5">
    <fb>45726</fb>
    <v>12</v>
  </rv>
  <rv s="5">
    <fb>4.43</fb>
    <v>13</v>
  </rv>
  <rv s="5">
    <fb>76.63</fb>
    <v>13</v>
  </rv>
  <rv s="5">
    <fb>75.73</fb>
    <v>13</v>
  </rv>
  <rv s="5">
    <fb>45733</fb>
    <v>12</v>
  </rv>
  <rv s="5">
    <fb>4.54</fb>
    <v>13</v>
  </rv>
  <rv s="5">
    <fb>76.78</fb>
    <v>13</v>
  </rv>
  <rv s="5">
    <fb>75.38</fb>
    <v>13</v>
  </rv>
  <rv s="5">
    <fb>45740</fb>
    <v>12</v>
  </rv>
  <rv s="5">
    <fb>77.39</fb>
    <v>13</v>
  </rv>
  <rv s="5">
    <fb>74.849999999999994</fb>
    <v>13</v>
  </rv>
  <rv s="5">
    <fb>45747</fb>
    <v>12</v>
  </rv>
  <rv s="5">
    <fb>3.8</fb>
    <v>13</v>
  </rv>
  <rv s="5">
    <fb>73.069999999999993</fb>
    <v>13</v>
  </rv>
  <rv s="5">
    <fb>69.58</fb>
    <v>13</v>
  </rv>
  <rv s="5">
    <fb>45754</fb>
    <v>12</v>
  </rv>
  <rv s="5">
    <fb>3.76</fb>
    <v>13</v>
  </rv>
  <rv s="5">
    <fb>72</fb>
    <v>13</v>
  </rv>
  <rv s="5">
    <fb>45761</fb>
    <v>12</v>
  </rv>
  <rv s="5">
    <fb>74.900000000000006</fb>
    <v>13</v>
  </rv>
  <rv s="5">
    <fb>45768</fb>
    <v>12</v>
  </rv>
  <rv s="5">
    <fb>4.1100000000000003</fb>
    <v>13</v>
  </rv>
  <rv s="5">
    <fb>78.5</fb>
    <v>13</v>
  </rv>
  <rv s="5">
    <fb>45775</fb>
    <v>12</v>
  </rv>
  <rv s="5">
    <fb>4.25</fb>
    <v>13</v>
  </rv>
  <rv s="5">
    <fb>80.599999999999994</fb>
    <v>13</v>
  </rv>
  <rv s="5">
    <fb>79.56</fb>
    <v>13</v>
  </rv>
  <rv s="5">
    <fb>45782</fb>
    <v>12</v>
  </rv>
  <rv s="5">
    <fb>4.45</fb>
    <v>13</v>
  </rv>
  <rv s="5">
    <fb>82.94</fb>
    <v>13</v>
  </rv>
  <rv s="5">
    <fb>45789</fb>
    <v>12</v>
  </rv>
  <rv s="5">
    <fb>4.09</fb>
    <v>13</v>
  </rv>
  <rv s="5">
    <fb>87.78</fb>
    <v>13</v>
  </rv>
  <rv s="5">
    <fb>45796</fb>
    <v>12</v>
  </rv>
  <rv s="5">
    <fb>4.1399999999999997</fb>
    <v>13</v>
  </rv>
  <rv s="5">
    <fb>88.89</fb>
    <v>13</v>
  </rv>
  <rv s="5">
    <fb>81.7</fb>
    <v>13</v>
  </rv>
  <rv s="5">
    <fb>45804</fb>
    <v>12</v>
  </rv>
  <rv s="5">
    <fb>4.92</fb>
    <v>13</v>
  </rv>
  <rv s="5">
    <fb>90.71</fb>
    <v>13</v>
  </rv>
  <rv s="5">
    <fb>82.75</fb>
    <v>13</v>
  </rv>
  <rv s="5">
    <fb>45810</fb>
    <v>12</v>
  </rv>
  <rv s="5">
    <fb>4.9400000000000004</fb>
    <v>13</v>
  </rv>
  <rv s="5">
    <fb>92.14</fb>
    <v>13</v>
  </rv>
  <rv s="5">
    <fb>82.18</fb>
    <v>13</v>
  </rv>
  <rv s="5">
    <fb>45817</fb>
    <v>12</v>
  </rv>
  <rv s="5">
    <fb>4.1900000000000004</fb>
    <v>13</v>
  </rv>
  <rv s="5">
    <fb>99.93</fb>
    <v>13</v>
  </rv>
  <rv s="5">
    <fb>83.87</fb>
    <v>13</v>
  </rv>
  <rv s="5">
    <fb>45824</fb>
    <v>12</v>
  </rv>
  <rv s="5">
    <fb>3.7</fb>
    <v>13</v>
  </rv>
  <rv s="5">
    <fb>100.36</fb>
    <v>13</v>
  </rv>
  <rv s="5">
    <fb>89.62</fb>
    <v>13</v>
  </rv>
  <rv s="5">
    <fb>45831</fb>
    <v>12</v>
  </rv>
  <rv s="5">
    <fb>3.93</fb>
    <v>13</v>
  </rv>
  <rv s="5">
    <fb>90.99</fb>
    <v>13</v>
  </rv>
  <rv s="5">
    <fb>88.25</fb>
    <v>13</v>
  </rv>
  <rv s="5">
    <fb>45838</fb>
    <v>12</v>
  </rv>
  <rv s="5">
    <fb>4.1500000000000004</fb>
    <v>13</v>
  </rv>
  <rv s="5">
    <fb>94.65</fb>
    <v>13</v>
  </rv>
  <rv s="5">
    <fb>88.93</fb>
    <v>13</v>
  </rv>
  <rv s="5">
    <fb>45845</fb>
    <v>12</v>
  </rv>
  <rv s="5">
    <fb>3.94</fb>
    <v>13</v>
  </rv>
  <rv s="5">
    <fb>98.24</fb>
    <v>13</v>
  </rv>
  <rv s="5">
    <fb>90.28</fb>
    <v>13</v>
  </rv>
  <rv s="5">
    <fb>45852</fb>
    <v>12</v>
  </rv>
  <rv s="5">
    <fb>3.47</fb>
    <v>13</v>
  </rv>
  <rv s="5">
    <fb>92.63</fb>
    <v>13</v>
  </rv>
  <rv s="5">
    <fb>88.6</fb>
    <v>13</v>
  </rv>
  <rv s="5">
    <fb>45859</fb>
    <v>12</v>
  </rv>
  <rv s="5">
    <fb>3.73</fb>
    <v>13</v>
  </rv>
  <rv s="5">
    <fb>93.3</fb>
    <v>13</v>
  </rv>
  <rv s="5">
    <fb>89.36</fb>
    <v>13</v>
  </rv>
  <rv s="5">
    <fb>45866</fb>
    <v>12</v>
  </rv>
  <rv s="5">
    <fb>4.21</fb>
    <v>13</v>
  </rv>
  <rv s="5">
    <fb>91.56</fb>
    <v>13</v>
  </rv>
  <rv s="5">
    <fb>95.68</fb>
    <v>13</v>
  </rv>
  <rv s="5">
    <fb>45873</fb>
    <v>12</v>
  </rv>
  <rv s="5">
    <fb>4.6500000000000004</fb>
    <v>13</v>
  </rv>
  <rv s="5">
    <fb>96.53</fb>
    <v>13</v>
  </rv>
  <rv s="5">
    <fb>45880</fb>
    <v>12</v>
  </rv>
  <rv s="5">
    <fb>5.2</fb>
    <v>13</v>
  </rv>
  <rv s="5">
    <fb>85.9</fb>
    <v>13</v>
  </rv>
  <rv s="5">
    <fb>91.28</fb>
    <v>13</v>
  </rv>
  <rv s="5">
    <fb>45887</fb>
    <v>12</v>
  </rv>
  <rv s="5">
    <fb>5.44</fb>
    <v>13</v>
  </rv>
  <rv s="5">
    <fb>86.51</fb>
    <v>13</v>
  </rv>
  <rv s="5">
    <fb>90.05</fb>
    <v>13</v>
  </rv>
  <rv s="5">
    <fb>45894</fb>
    <v>12</v>
  </rv>
  <rv s="5">
    <fb>5.4</fb>
    <v>13</v>
  </rv>
  <rv s="5">
    <fb>86.63</fb>
    <v>13</v>
  </rv>
  <rv s="5">
    <fb>89.73</fb>
    <v>13</v>
  </rv>
  <rv s="5">
    <fb>45902</fb>
    <v>12</v>
  </rv>
  <rv s="5">
    <fb>5.59</fb>
    <v>13</v>
  </rv>
  <rv s="5">
    <fb>84.48</fb>
    <v>13</v>
  </rv>
  <rv s="5">
    <fb>87.98</fb>
    <v>13</v>
  </rv>
  <rv s="5">
    <fb>45908</fb>
    <v>12</v>
  </rv>
  <rv s="5">
    <fb>5.62</fb>
    <v>13</v>
  </rv>
  <rv s="5">
    <fb>85.63</fb>
    <v>13</v>
  </rv>
  <rv s="5">
    <fb>88.01</fb>
    <v>13</v>
  </rv>
  <rv s="5">
    <fb>45915</fb>
    <v>12</v>
  </rv>
  <rv s="5">
    <fb>85.09</fb>
    <v>13</v>
  </rv>
  <rv s="5">
    <fb>91.02</fb>
    <v>13</v>
  </rv>
  <rv s="5">
    <fb>45922</fb>
    <v>12</v>
  </rv>
  <rv s="5">
    <fb>5.81</fb>
    <v>13</v>
  </rv>
  <rv s="5">
    <fb>92.13</fb>
    <v>13</v>
  </rv>
  <rv s="5">
    <fb>90.81</fb>
    <v>13</v>
  </rv>
  <rv s="5">
    <fb>45929</fb>
    <v>12</v>
  </rv>
  <rv s="5">
    <fb>5.42</fb>
    <v>13</v>
  </rv>
  <rv s="5">
    <fb>90.09</fb>
    <v>13</v>
  </rv>
  <rv s="5">
    <fb>92.97</fb>
    <v>13</v>
  </rv>
  <rv s="5">
    <fb>45936</fb>
    <v>12</v>
  </rv>
  <rv s="5">
    <fb>5.04</fb>
    <v>13</v>
  </rv>
  <rv s="5">
    <fb>87.34</fb>
    <v>13</v>
  </rv>
  <rv s="5">
    <fb>92.57</fb>
    <v>13</v>
  </rv>
  <rv s="5">
    <fb>45943</fb>
    <v>12</v>
  </rv>
  <rv s="5">
    <fb>5.22</fb>
    <v>13</v>
  </rv>
  <rv s="5">
    <fb>83.51</fb>
    <v>13</v>
  </rv>
  <rv s="5">
    <fb>90.3</fb>
    <v>13</v>
  </rv>
  <rv s="5">
    <fb>45950</fb>
    <v>12</v>
  </rv>
  <rv s="5">
    <fb>5.35</fb>
    <v>13</v>
  </rv>
  <rv s="5">
    <fb>86.47</fb>
    <v>13</v>
  </rv>
  <rv s="5">
    <fb>45957</fb>
    <v>12</v>
  </rv>
  <rv s="5">
    <fb>4.47</fb>
    <v>13</v>
  </rv>
  <rv s="5">
    <fb>83.29</fb>
    <v>13</v>
  </rv>
  <rv s="5">
    <fb>94.69</fb>
    <v>13</v>
  </rv>
  <rv s="5">
    <fb>45964</fb>
    <v>12</v>
  </rv>
  <rv s="5">
    <fb>5.0999999999999996</fb>
    <v>13</v>
  </rv>
  <rv s="5">
    <fb>82.03</fb>
    <v>13</v>
  </rv>
  <rv s="5">
    <fb>99.67</fb>
    <v>13</v>
  </rv>
  <rv s="5">
    <fb>45971</fb>
    <v>12</v>
  </rv>
  <rv s="5">
    <fb>85.04</fb>
    <v>13</v>
  </rv>
  <rv s="5">
    <fb>99.17</fb>
    <v>13</v>
  </rv>
  <rv s="5">
    <fb>45978</fb>
    <v>12</v>
  </rv>
  <rv s="5">
    <fb>4.32</fb>
    <v>13</v>
  </rv>
  <rv s="5">
    <fb>78.540000000000006</fb>
    <v>13</v>
  </rv>
  <rv s="5">
    <fb>97.44</fb>
    <v>13</v>
  </rv>
  <rv s="5">
    <fb>45985</fb>
    <v>12</v>
  </rv>
  <rv s="5">
    <fb>4.66</fb>
    <v>13</v>
  </rv>
  <rv s="5">
    <fb>78.7</fb>
    <v>13</v>
  </rv>
  <rv s="5">
    <fb>96.56</fb>
    <v>13</v>
  </rv>
  <rv s="5">
    <fb>45992</fb>
    <v>12</v>
  </rv>
  <rv s="5">
    <fb>4.28</fb>
    <v>13</v>
  </rv>
  <rv s="5">
    <fb>77.88</fb>
    <v>13</v>
  </rv>
  <rv s="5">
    <fb>94.27</fb>
    <v>13</v>
  </rv>
  <rv s="5">
    <fb>45999</fb>
    <v>12</v>
  </rv>
  <rv s="5">
    <fb>79.19</fb>
    <v>13</v>
  </rv>
  <rv s="5">
    <fb>95.49</fb>
    <v>13</v>
  </rv>
  <rv s="5">
    <fb>46006</fb>
    <v>12</v>
  </rv>
  <rv s="5">
    <fb>3.89</fb>
    <v>13</v>
  </rv>
  <rv s="5">
    <fb>95.48</fb>
    <v>13</v>
  </rv>
  <rv s="5">
    <fb>46013</fb>
    <v>12</v>
  </rv>
  <rv s="5">
    <fb>4.01</fb>
    <v>13</v>
  </rv>
  <rv s="5">
    <fb>77.45</fb>
    <v>13</v>
  </rv>
  <rv s="5">
    <fb>97.24</fb>
    <v>13</v>
  </rv>
  <rv s="5">
    <fb>46020</fb>
    <v>12</v>
  </rv>
  <rv s="5">
    <fb>3.81</fb>
    <v>13</v>
  </rv>
  <rv s="5">
    <fb>80.13</fb>
    <v>13</v>
  </rv>
  <rv s="5">
    <fb>101.5</fb>
    <v>13</v>
  </rv>
  <rv s="6">
    <v>14</v>
    <v>a24qtc</v>
    <v>Weekly</v>
    <v>44927</v>
    <v>46025</v>
    <v>0</v>
    <v>1</v>
    <v>639029088000000000,639129195894495135,0</v>
    <v>0</v>
    <v>a24qtc</v>
    <v>XNYS:UAN</v>
    <v>1</v>
  </rv>
  <rv s="6">
    <v>14</v>
    <v>a1pidm</v>
    <v>Weekly</v>
    <v>44927</v>
    <v>46025</v>
    <v>0</v>
    <v>1</v>
    <v>639029088000000000,639129195894749596,0</v>
    <v>0</v>
    <v>a1pidm</v>
    <v>XNYS:CF</v>
    <v>2</v>
  </rv>
  <rv s="6">
    <v>14</v>
    <v>a1nyz2</v>
    <v>Weekly</v>
    <v>44927</v>
    <v>46025</v>
    <v>0</v>
    <v>1</v>
    <v>639029088000000000,639129195894994523,0</v>
    <v>0</v>
    <v>a1nyz2</v>
    <v>XNYS:AVD</v>
    <v>3</v>
  </rv>
</rvData>
</file>

<file path=xl/richData/rdrichvaluestructure.xml><?xml version="1.0" encoding="utf-8"?>
<rvStructures xmlns="http://schemas.microsoft.com/office/spreadsheetml/2017/richdata" count="7">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Change"/>
    <k n="Change (%)"/>
    <k n="Change (Extended hours)"/>
    <k n="Change % (Extended hours)"/>
    <k n="Currency" t="s"/>
    <k n="Exchange" t="s"/>
    <k n="Exchange abbreviation" t="s"/>
    <k n="High"/>
    <k n="Instrument type" t="s"/>
    <k n="Last trade time"/>
    <k n="LearnMoreOnLink" t="r"/>
    <k n="Low"/>
    <k n="Name" t="s"/>
    <k n="Open"/>
    <k n="Previous close"/>
    <k n="Price"/>
    <k n="Price (Extended hours)"/>
    <k n="Ticker symbol" t="s"/>
    <k n="UniqueName" t="s"/>
    <k n="Volume"/>
    <k n="Volume average"/>
  </s>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3">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4">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Instrument type</v>
      <v t="s">_Flags</v>
      <v t="s">UniqueName</v>
      <v t="s">_DisplayString</v>
      <v t="s">LearnMoreOnLink</v>
      <v t="s">%ProviderInfo</v>
    </a>
  </spbArrays>
  <spbData count="15">
    <spb s="0">
      <v>0</v>
      <v>Name</v>
      <v>LearnMoreOnLink</v>
    </spb>
    <spb s="1">
      <v>0</v>
      <v>0</v>
      <v>0</v>
    </spb>
    <spb s="2">
      <v>1</v>
      <v>1</v>
      <v>1</v>
      <v>1</v>
    </spb>
    <spb s="3">
      <v>1</v>
      <v>2</v>
      <v>1</v>
      <v>3</v>
      <v>1</v>
      <v>1</v>
      <v>1</v>
      <v>4</v>
      <v>4</v>
      <v>5</v>
      <v>6</v>
      <v>1</v>
      <v>1</v>
      <v>1</v>
      <v>4</v>
      <v>7</v>
      <v>8</v>
      <v>9</v>
      <v>4</v>
      <v>1</v>
      <v>1</v>
      <v>5</v>
    </spb>
    <spb s="4">
      <v>at close</v>
      <v>from previous close</v>
      <v>from previous close</v>
      <v>Source: Nasdaq</v>
      <v>GMT</v>
      <v>Delayed 15 minutes</v>
      <v>from close</v>
      <v>from close</v>
    </spb>
    <spb s="0">
      <v>1</v>
      <v>Name</v>
      <v>LearnMoreOnLink</v>
    </spb>
    <spb s="5">
      <v>1</v>
      <v>2</v>
      <v>2</v>
      <v>1</v>
      <v>3</v>
      <v>1</v>
      <v>1</v>
      <v>1</v>
      <v>4</v>
      <v>4</v>
      <v>5</v>
      <v>6</v>
      <v>1</v>
      <v>1</v>
      <v>1</v>
      <v>4</v>
      <v>7</v>
      <v>8</v>
      <v>9</v>
      <v>4</v>
      <v>1</v>
      <v>1</v>
      <v>5</v>
    </spb>
    <spb s="4">
      <v>at close</v>
      <v>from previous close</v>
      <v>from previous close</v>
      <v>Source: Nasdaq Last Sale</v>
      <v>GMT</v>
      <v>Real-Time Nasdaq Last Sale</v>
      <v>from close</v>
      <v>from close</v>
    </spb>
    <spb s="0">
      <v>2</v>
      <v>Name</v>
      <v>LearnMoreOnLink</v>
    </spb>
    <spb s="6">
      <v>1</v>
      <v>1</v>
      <v>1</v>
    </spb>
    <spb s="7">
      <v>1</v>
      <v>1</v>
      <v>3</v>
      <v>1</v>
      <v>1</v>
      <v>1</v>
      <v>4</v>
      <v>5</v>
      <v>1</v>
      <v>1</v>
      <v>1</v>
      <v>4</v>
      <v>7</v>
      <v>9</v>
      <v>1</v>
      <v>1</v>
      <v>5</v>
    </spb>
    <spb s="8">
      <v>at close</v>
      <v>from previous close</v>
      <v>Source: Nasdaq</v>
      <v>from previous close</v>
      <v>GMT</v>
      <v>Delayed 15 minutes</v>
      <v>from close</v>
      <v>from close</v>
    </spb>
    <spb s="9">
      <v>10</v>
    </spb>
    <spb s="9">
      <v>1</v>
    </spb>
    <spb s="10">
      <v>10</v>
      <v>1</v>
    </spb>
  </spbData>
</supportingPropertyBags>
</file>

<file path=xl/richData/rdsupportingpropertybagstructure.xml><?xml version="1.0" encoding="utf-8"?>
<spbStructures xmlns="http://schemas.microsoft.com/office/spreadsheetml/2017/richdata2" count="11">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UniqueName" t="spb"/>
    <k n="`%ProviderInfo" t="spb"/>
    <k n="LearnMoreOnLink" t="spb"/>
  </s>
  <s>
    <k n="Low" t="i"/>
    <k n="High" t="i"/>
    <k n="Name" t="i"/>
    <k n="Open" t="i"/>
    <k n="Price" t="i"/>
    <k n="Change" t="i"/>
    <k n="Volume" t="i"/>
    <k n="Change (%)" t="i"/>
    <k n="52 week low" t="i"/>
    <k n="52 week high" t="i"/>
    <k n="Previous close" t="i"/>
    <k n="Volume averag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x:dxf>
      <x:numFmt numFmtId="19" formatCode="m/d/yy"/>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7"/>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nvestors-american-vanguard.com/overview/default.aspx" TargetMode="External"/><Relationship Id="rId2" Type="http://schemas.openxmlformats.org/officeDocument/2006/relationships/hyperlink" Target="https://www.cvrpartners.com/" TargetMode="External"/><Relationship Id="rId1" Type="http://schemas.openxmlformats.org/officeDocument/2006/relationships/hyperlink" Target="https://www.cfindustrie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F3B91-FA53-4E93-BC1C-246AF4533A96}">
  <dimension ref="B2:U169"/>
  <sheetViews>
    <sheetView tabSelected="1" topLeftCell="G5" zoomScale="213" workbookViewId="0">
      <selection activeCell="B12" sqref="B12"/>
    </sheetView>
  </sheetViews>
  <sheetFormatPr baseColWidth="10" defaultColWidth="8.83203125" defaultRowHeight="15" x14ac:dyDescent="0.2"/>
  <cols>
    <col min="2" max="2" width="14" bestFit="1" customWidth="1"/>
    <col min="3" max="3" width="10" bestFit="1" customWidth="1"/>
    <col min="4" max="4" width="14" bestFit="1" customWidth="1"/>
    <col min="7" max="7" width="14" bestFit="1" customWidth="1"/>
    <col min="10" max="10" width="15.1640625" customWidth="1"/>
  </cols>
  <sheetData>
    <row r="2" spans="2:21" x14ac:dyDescent="0.2">
      <c r="B2" s="1" t="s">
        <v>3</v>
      </c>
      <c r="C2" s="2">
        <v>44927</v>
      </c>
    </row>
    <row r="4" spans="2:21" x14ac:dyDescent="0.2">
      <c r="B4" s="1" t="s">
        <v>4</v>
      </c>
      <c r="C4" s="2">
        <v>46022</v>
      </c>
    </row>
    <row r="5" spans="2:21" x14ac:dyDescent="0.2">
      <c r="B5" s="1"/>
    </row>
    <row r="7" spans="2:21" x14ac:dyDescent="0.2">
      <c r="B7" s="1" t="s">
        <v>0</v>
      </c>
      <c r="C7" t="e" vm="1">
        <v>#VALUE!</v>
      </c>
      <c r="H7" s="1" t="s">
        <v>5</v>
      </c>
      <c r="J7" s="3" t="s">
        <v>8</v>
      </c>
    </row>
    <row r="8" spans="2:21" x14ac:dyDescent="0.2">
      <c r="B8" s="1" t="s">
        <v>1</v>
      </c>
      <c r="C8" t="e" vm="2">
        <v>#VALUE!</v>
      </c>
      <c r="H8" s="1" t="s">
        <v>5</v>
      </c>
      <c r="J8" s="3" t="s">
        <v>6</v>
      </c>
    </row>
    <row r="9" spans="2:21" x14ac:dyDescent="0.2">
      <c r="B9" s="1" t="s">
        <v>2</v>
      </c>
      <c r="C9" t="e" vm="3">
        <v>#VALUE!</v>
      </c>
      <c r="H9" s="1" t="s">
        <v>5</v>
      </c>
      <c r="J9" s="3" t="s">
        <v>7</v>
      </c>
    </row>
    <row r="10" spans="2:21" x14ac:dyDescent="0.2">
      <c r="B10" s="1"/>
      <c r="H10" s="1"/>
    </row>
    <row r="11" spans="2:21" ht="44.75" customHeight="1" thickBot="1" x14ac:dyDescent="0.25">
      <c r="B11" s="8" t="s">
        <v>9</v>
      </c>
      <c r="C11" s="9"/>
      <c r="D11" s="10"/>
      <c r="E11" s="8" t="s">
        <v>10</v>
      </c>
      <c r="F11" s="9"/>
      <c r="G11" s="10"/>
      <c r="H11" s="8" t="s">
        <v>11</v>
      </c>
      <c r="I11" s="9"/>
      <c r="J11" s="10"/>
      <c r="M11" s="6"/>
      <c r="N11" s="1"/>
      <c r="O11" s="4"/>
      <c r="P11" s="1"/>
      <c r="Q11" s="1"/>
      <c r="R11" s="4"/>
      <c r="S11" s="1"/>
      <c r="T11" s="1"/>
      <c r="U11" s="4"/>
    </row>
    <row r="12" spans="2:21" x14ac:dyDescent="0.2">
      <c r="B12" s="6" t="str" cm="1">
        <f t="array" aca="1" ref="B12:C169" ca="1">_xlfn.STOCKHISTORY(C7,C2,C4,1,1,0,1)</f>
        <v>Date</v>
      </c>
      <c r="C12" s="1" t="str">
        <f ca="1"/>
        <v>Close</v>
      </c>
      <c r="D12" s="4" t="s">
        <v>12</v>
      </c>
      <c r="E12" s="1" t="str" cm="1">
        <f t="array" aca="1" ref="E12:F169" ca="1">_xlfn.STOCKHISTORY(C8,C2,C4,1,1,0,1)</f>
        <v>Date</v>
      </c>
      <c r="F12" s="1" t="str">
        <f ca="1"/>
        <v>Close</v>
      </c>
      <c r="G12" s="4" t="s">
        <v>12</v>
      </c>
      <c r="H12" s="1" t="str" cm="1">
        <f t="array" aca="1" ref="H12:I169" ca="1">_xlfn.STOCKHISTORY(C9,C2,C4,1,1,0,1)</f>
        <v>Date</v>
      </c>
      <c r="I12" s="1" t="str">
        <f ca="1"/>
        <v>Close</v>
      </c>
      <c r="J12" s="4" t="s">
        <v>12</v>
      </c>
      <c r="M12" s="7"/>
      <c r="O12" s="5"/>
      <c r="R12" s="5"/>
      <c r="U12" s="5"/>
    </row>
    <row r="13" spans="2:21" x14ac:dyDescent="0.2">
      <c r="B13" s="7" vm="4">
        <f ca="1"/>
        <v>44929</v>
      </c>
      <c r="C13" vm="5">
        <f ca="1"/>
        <v>21.83</v>
      </c>
      <c r="D13" s="5"/>
      <c r="E13" vm="4">
        <f ca="1"/>
        <v>44929</v>
      </c>
      <c r="F13" vm="6">
        <f ca="1"/>
        <v>84.41</v>
      </c>
      <c r="G13" s="5"/>
      <c r="H13" vm="4">
        <f ca="1"/>
        <v>44929</v>
      </c>
      <c r="I13" vm="7">
        <f ca="1"/>
        <v>103.36</v>
      </c>
      <c r="J13" s="5"/>
      <c r="M13" s="7"/>
      <c r="O13" s="5"/>
      <c r="R13" s="5"/>
      <c r="U13" s="5"/>
    </row>
    <row r="14" spans="2:21" x14ac:dyDescent="0.2">
      <c r="B14" s="7" vm="8">
        <f ca="1"/>
        <v>44935</v>
      </c>
      <c r="C14" vm="9">
        <f ca="1"/>
        <v>23.16</v>
      </c>
      <c r="D14" s="5">
        <f t="shared" ref="D14:D45" ca="1" si="0">(C14-C13)/C13</f>
        <v>6.0925332111772881E-2</v>
      </c>
      <c r="E14" vm="8">
        <f ca="1"/>
        <v>44935</v>
      </c>
      <c r="F14" vm="10">
        <f ca="1"/>
        <v>86.91</v>
      </c>
      <c r="G14" s="5">
        <f ca="1">(F14-F13)/F13</f>
        <v>2.9617343916597559E-2</v>
      </c>
      <c r="H14" vm="8">
        <f ca="1"/>
        <v>44935</v>
      </c>
      <c r="I14" vm="11">
        <f ca="1"/>
        <v>104.45</v>
      </c>
      <c r="J14" s="5">
        <f ca="1">(I14-I13)/I13</f>
        <v>1.0545665634674956E-2</v>
      </c>
      <c r="M14" s="7"/>
      <c r="O14" s="5"/>
      <c r="R14" s="5"/>
      <c r="U14" s="5"/>
    </row>
    <row r="15" spans="2:21" x14ac:dyDescent="0.2">
      <c r="B15" s="7" vm="12">
        <f ca="1"/>
        <v>44943</v>
      </c>
      <c r="C15" vm="13">
        <f ca="1"/>
        <v>23.08</v>
      </c>
      <c r="D15" s="5">
        <f t="shared" ca="1" si="0"/>
        <v>-3.4542314335061245E-3</v>
      </c>
      <c r="E15" vm="12">
        <f ca="1"/>
        <v>44943</v>
      </c>
      <c r="F15" vm="14">
        <f ca="1"/>
        <v>86.48</v>
      </c>
      <c r="G15" s="5">
        <f t="shared" ref="G15:G78" ca="1" si="1">(F15-F14)/F14</f>
        <v>-4.9476469911401751E-3</v>
      </c>
      <c r="H15" vm="12">
        <f ca="1"/>
        <v>44943</v>
      </c>
      <c r="I15" vm="15">
        <f ca="1"/>
        <v>101.59</v>
      </c>
      <c r="J15" s="5">
        <f t="shared" ref="J15:J78" ca="1" si="2">(I15-I14)/I14</f>
        <v>-2.7381522259454279E-2</v>
      </c>
      <c r="M15" s="7"/>
      <c r="O15" s="5"/>
      <c r="R15" s="5"/>
      <c r="U15" s="5"/>
    </row>
    <row r="16" spans="2:21" x14ac:dyDescent="0.2">
      <c r="B16" s="7" vm="16">
        <f ca="1"/>
        <v>44949</v>
      </c>
      <c r="C16" vm="17">
        <f ca="1"/>
        <v>22.41</v>
      </c>
      <c r="D16" s="5">
        <f t="shared" ca="1" si="0"/>
        <v>-2.9029462738301481E-2</v>
      </c>
      <c r="E16" vm="16">
        <f ca="1"/>
        <v>44949</v>
      </c>
      <c r="F16" vm="18">
        <f ca="1"/>
        <v>83.08</v>
      </c>
      <c r="G16" s="5">
        <f t="shared" ca="1" si="1"/>
        <v>-3.9315448658649464E-2</v>
      </c>
      <c r="H16" vm="16">
        <f ca="1"/>
        <v>44949</v>
      </c>
      <c r="I16" vm="19">
        <f ca="1"/>
        <v>102.64</v>
      </c>
      <c r="J16" s="5">
        <f t="shared" ca="1" si="2"/>
        <v>1.0335662958952625E-2</v>
      </c>
      <c r="M16" s="7"/>
      <c r="O16" s="5"/>
      <c r="R16" s="5"/>
      <c r="U16" s="5"/>
    </row>
    <row r="17" spans="2:21" x14ac:dyDescent="0.2">
      <c r="B17" s="7" vm="20">
        <f ca="1"/>
        <v>44956</v>
      </c>
      <c r="C17" vm="21">
        <f ca="1"/>
        <v>22.43</v>
      </c>
      <c r="D17" s="5">
        <f t="shared" ca="1" si="0"/>
        <v>8.9245872378400598E-4</v>
      </c>
      <c r="E17" vm="20">
        <f ca="1"/>
        <v>44956</v>
      </c>
      <c r="F17" vm="22">
        <f ca="1"/>
        <v>85.93</v>
      </c>
      <c r="G17" s="5">
        <f t="shared" ca="1" si="1"/>
        <v>3.4304285026480606E-2</v>
      </c>
      <c r="H17" vm="20">
        <f ca="1"/>
        <v>44956</v>
      </c>
      <c r="I17" vm="23">
        <f ca="1"/>
        <v>91.82</v>
      </c>
      <c r="J17" s="5">
        <f t="shared" ca="1" si="2"/>
        <v>-0.10541699142634457</v>
      </c>
      <c r="M17" s="7"/>
      <c r="O17" s="5"/>
      <c r="R17" s="5"/>
      <c r="U17" s="5"/>
    </row>
    <row r="18" spans="2:21" x14ac:dyDescent="0.2">
      <c r="B18" s="7" vm="24">
        <f ca="1"/>
        <v>44963</v>
      </c>
      <c r="C18" vm="25">
        <f ca="1"/>
        <v>21.23</v>
      </c>
      <c r="D18" s="5">
        <f t="shared" ca="1" si="0"/>
        <v>-5.3499777084262116E-2</v>
      </c>
      <c r="E18" vm="24">
        <f ca="1"/>
        <v>44963</v>
      </c>
      <c r="F18" vm="26">
        <f ca="1"/>
        <v>90.49</v>
      </c>
      <c r="G18" s="5">
        <f t="shared" ca="1" si="1"/>
        <v>5.3066449435586964E-2</v>
      </c>
      <c r="H18" vm="24">
        <f ca="1"/>
        <v>44963</v>
      </c>
      <c r="I18" vm="27">
        <f ca="1"/>
        <v>97.39</v>
      </c>
      <c r="J18" s="5">
        <f t="shared" ca="1" si="2"/>
        <v>6.0662165105641555E-2</v>
      </c>
      <c r="M18" s="7"/>
      <c r="O18" s="5"/>
      <c r="R18" s="5"/>
      <c r="U18" s="5"/>
    </row>
    <row r="19" spans="2:21" x14ac:dyDescent="0.2">
      <c r="B19" s="7" vm="28">
        <f ca="1"/>
        <v>44970</v>
      </c>
      <c r="C19" vm="29">
        <f ca="1"/>
        <v>20.399999999999999</v>
      </c>
      <c r="D19" s="5">
        <f t="shared" ca="1" si="0"/>
        <v>-3.9095619406500325E-2</v>
      </c>
      <c r="E19" vm="28">
        <f ca="1"/>
        <v>44970</v>
      </c>
      <c r="F19" vm="30">
        <f ca="1"/>
        <v>82.35</v>
      </c>
      <c r="G19" s="5">
        <f t="shared" ca="1" si="1"/>
        <v>-8.9954691126091293E-2</v>
      </c>
      <c r="H19" vm="28">
        <f ca="1"/>
        <v>44970</v>
      </c>
      <c r="I19" vm="31">
        <f ca="1"/>
        <v>97.33</v>
      </c>
      <c r="J19" s="5">
        <f t="shared" ca="1" si="2"/>
        <v>-6.1607967963858994E-4</v>
      </c>
      <c r="M19" s="7"/>
      <c r="O19" s="5"/>
      <c r="R19" s="5"/>
      <c r="U19" s="5"/>
    </row>
    <row r="20" spans="2:21" x14ac:dyDescent="0.2">
      <c r="B20" s="7" vm="32">
        <f ca="1"/>
        <v>44978</v>
      </c>
      <c r="C20" vm="33">
        <f ca="1"/>
        <v>20.25</v>
      </c>
      <c r="D20" s="5">
        <f t="shared" ca="1" si="0"/>
        <v>-7.3529411764705187E-3</v>
      </c>
      <c r="E20" vm="32">
        <f ca="1"/>
        <v>44978</v>
      </c>
      <c r="F20" vm="34">
        <f ca="1"/>
        <v>85.59</v>
      </c>
      <c r="G20" s="5">
        <f t="shared" ca="1" si="1"/>
        <v>3.9344262295082082E-2</v>
      </c>
      <c r="H20" vm="32">
        <f ca="1"/>
        <v>44978</v>
      </c>
      <c r="I20" vm="35">
        <f ca="1"/>
        <v>108.87</v>
      </c>
      <c r="J20" s="5">
        <f t="shared" ca="1" si="2"/>
        <v>0.11856570430494201</v>
      </c>
      <c r="M20" s="7"/>
      <c r="O20" s="5"/>
      <c r="R20" s="5"/>
      <c r="U20" s="5"/>
    </row>
    <row r="21" spans="2:21" x14ac:dyDescent="0.2">
      <c r="B21" s="7" vm="36">
        <f ca="1"/>
        <v>44984</v>
      </c>
      <c r="C21" vm="37">
        <f ca="1"/>
        <v>21.3</v>
      </c>
      <c r="D21" s="5">
        <f t="shared" ca="1" si="0"/>
        <v>5.1851851851851885E-2</v>
      </c>
      <c r="E21" vm="36">
        <f ca="1"/>
        <v>44984</v>
      </c>
      <c r="F21" vm="38">
        <f ca="1"/>
        <v>86.16</v>
      </c>
      <c r="G21" s="5">
        <f t="shared" ca="1" si="1"/>
        <v>6.6596565019277154E-3</v>
      </c>
      <c r="H21" vm="36">
        <f ca="1"/>
        <v>44984</v>
      </c>
      <c r="I21" vm="39">
        <f ca="1"/>
        <v>102.45</v>
      </c>
      <c r="J21" s="5">
        <f t="shared" ca="1" si="2"/>
        <v>-5.8969413061449448E-2</v>
      </c>
      <c r="M21" s="7"/>
      <c r="O21" s="5"/>
      <c r="R21" s="5"/>
      <c r="U21" s="5"/>
    </row>
    <row r="22" spans="2:21" x14ac:dyDescent="0.2">
      <c r="B22" s="7" vm="40">
        <f ca="1"/>
        <v>44991</v>
      </c>
      <c r="C22" vm="41">
        <f ca="1"/>
        <v>20.03</v>
      </c>
      <c r="D22" s="5">
        <f t="shared" ca="1" si="0"/>
        <v>-5.9624413145539887E-2</v>
      </c>
      <c r="E22" vm="40">
        <f ca="1"/>
        <v>44991</v>
      </c>
      <c r="F22" vm="42">
        <f ca="1"/>
        <v>78.47</v>
      </c>
      <c r="G22" s="5">
        <f t="shared" ca="1" si="1"/>
        <v>-8.9252553389043615E-2</v>
      </c>
      <c r="H22" vm="40">
        <f ca="1"/>
        <v>44991</v>
      </c>
      <c r="I22" vm="43">
        <f ca="1"/>
        <v>93.52</v>
      </c>
      <c r="J22" s="5">
        <f t="shared" ca="1" si="2"/>
        <v>-8.7164470473401728E-2</v>
      </c>
      <c r="M22" s="7"/>
      <c r="O22" s="5"/>
      <c r="R22" s="5"/>
      <c r="U22" s="5"/>
    </row>
    <row r="23" spans="2:21" x14ac:dyDescent="0.2">
      <c r="B23" s="7" vm="44">
        <f ca="1"/>
        <v>44998</v>
      </c>
      <c r="C23" vm="45">
        <f ca="1"/>
        <v>21.21</v>
      </c>
      <c r="D23" s="5">
        <f t="shared" ca="1" si="0"/>
        <v>5.8911632551173224E-2</v>
      </c>
      <c r="E23" vm="44">
        <f ca="1"/>
        <v>44998</v>
      </c>
      <c r="F23" vm="46">
        <f ca="1"/>
        <v>70.930000000000007</v>
      </c>
      <c r="G23" s="5">
        <f t="shared" ca="1" si="1"/>
        <v>-9.6087676819166454E-2</v>
      </c>
      <c r="H23" vm="44">
        <f ca="1"/>
        <v>44998</v>
      </c>
      <c r="I23" vm="47">
        <f ca="1"/>
        <v>81.73</v>
      </c>
      <c r="J23" s="5">
        <f t="shared" ca="1" si="2"/>
        <v>-0.12606928999144559</v>
      </c>
      <c r="M23" s="7"/>
      <c r="O23" s="5"/>
      <c r="R23" s="5"/>
      <c r="U23" s="5"/>
    </row>
    <row r="24" spans="2:21" x14ac:dyDescent="0.2">
      <c r="B24" s="7" vm="48">
        <f ca="1"/>
        <v>45005</v>
      </c>
      <c r="C24" vm="49">
        <f ca="1"/>
        <v>22.01</v>
      </c>
      <c r="D24" s="5">
        <f t="shared" ca="1" si="0"/>
        <v>3.7718057520037748E-2</v>
      </c>
      <c r="E24" vm="48">
        <f ca="1"/>
        <v>45005</v>
      </c>
      <c r="F24" vm="50">
        <f ca="1"/>
        <v>69.3</v>
      </c>
      <c r="G24" s="5">
        <f t="shared" ca="1" si="1"/>
        <v>-2.2980403214436902E-2</v>
      </c>
      <c r="H24" vm="48">
        <f ca="1"/>
        <v>45005</v>
      </c>
      <c r="I24" vm="51">
        <f ca="1"/>
        <v>86.93</v>
      </c>
      <c r="J24" s="5">
        <f t="shared" ca="1" si="2"/>
        <v>6.3624128227089224E-2</v>
      </c>
      <c r="M24" s="7"/>
      <c r="O24" s="5"/>
      <c r="R24" s="5"/>
      <c r="U24" s="5"/>
    </row>
    <row r="25" spans="2:21" x14ac:dyDescent="0.2">
      <c r="B25" s="7" vm="52">
        <f ca="1"/>
        <v>45012</v>
      </c>
      <c r="C25" vm="53">
        <f ca="1"/>
        <v>21.88</v>
      </c>
      <c r="D25" s="5">
        <f t="shared" ca="1" si="0"/>
        <v>-5.9064061790096573E-3</v>
      </c>
      <c r="E25" vm="52">
        <f ca="1"/>
        <v>45012</v>
      </c>
      <c r="F25" vm="54">
        <f ca="1"/>
        <v>72.489999999999995</v>
      </c>
      <c r="G25" s="5">
        <f t="shared" ca="1" si="1"/>
        <v>4.6031746031746E-2</v>
      </c>
      <c r="H25" vm="52">
        <f ca="1"/>
        <v>45012</v>
      </c>
      <c r="I25" vm="55">
        <f ca="1"/>
        <v>89.17</v>
      </c>
      <c r="J25" s="5">
        <f t="shared" ca="1" si="2"/>
        <v>2.576785919705504E-2</v>
      </c>
      <c r="M25" s="7"/>
      <c r="O25" s="5"/>
      <c r="R25" s="5"/>
      <c r="U25" s="5"/>
    </row>
    <row r="26" spans="2:21" x14ac:dyDescent="0.2">
      <c r="B26" s="7" vm="56">
        <f ca="1"/>
        <v>45019</v>
      </c>
      <c r="C26" vm="57">
        <f ca="1"/>
        <v>20.96</v>
      </c>
      <c r="D26" s="5">
        <f t="shared" ca="1" si="0"/>
        <v>-4.2047531992687306E-2</v>
      </c>
      <c r="E26" vm="56">
        <f ca="1"/>
        <v>45019</v>
      </c>
      <c r="F26" vm="58">
        <f ca="1"/>
        <v>71.459999999999994</v>
      </c>
      <c r="G26" s="5">
        <f t="shared" ca="1" si="1"/>
        <v>-1.4208856393985394E-2</v>
      </c>
      <c r="H26" vm="56">
        <f ca="1"/>
        <v>45019</v>
      </c>
      <c r="I26" vm="59">
        <f ca="1"/>
        <v>85.64</v>
      </c>
      <c r="J26" s="5">
        <f t="shared" ca="1" si="2"/>
        <v>-3.9587305147471136E-2</v>
      </c>
      <c r="M26" s="7"/>
      <c r="O26" s="5"/>
      <c r="R26" s="5"/>
      <c r="U26" s="5"/>
    </row>
    <row r="27" spans="2:21" x14ac:dyDescent="0.2">
      <c r="B27" s="7" vm="60">
        <f ca="1"/>
        <v>45026</v>
      </c>
      <c r="C27" vm="61">
        <f ca="1"/>
        <v>21.38</v>
      </c>
      <c r="D27" s="5">
        <f t="shared" ca="1" si="0"/>
        <v>2.003816793893121E-2</v>
      </c>
      <c r="E27" vm="60">
        <f ca="1"/>
        <v>45026</v>
      </c>
      <c r="F27" vm="62">
        <f ca="1"/>
        <v>77.08</v>
      </c>
      <c r="G27" s="5">
        <f t="shared" ca="1" si="1"/>
        <v>7.8645396025748743E-2</v>
      </c>
      <c r="H27" vm="60">
        <f ca="1"/>
        <v>45026</v>
      </c>
      <c r="I27" vm="63">
        <f ca="1"/>
        <v>93.89</v>
      </c>
      <c r="J27" s="5">
        <f t="shared" ca="1" si="2"/>
        <v>9.6333489023820648E-2</v>
      </c>
      <c r="M27" s="7"/>
      <c r="O27" s="5"/>
      <c r="R27" s="5"/>
      <c r="U27" s="5"/>
    </row>
    <row r="28" spans="2:21" x14ac:dyDescent="0.2">
      <c r="B28" s="7" vm="64">
        <f ca="1"/>
        <v>45033</v>
      </c>
      <c r="C28" vm="65">
        <f ca="1"/>
        <v>20.14</v>
      </c>
      <c r="D28" s="5">
        <f t="shared" ca="1" si="0"/>
        <v>-5.7998129092609846E-2</v>
      </c>
      <c r="E28" vm="64">
        <f ca="1"/>
        <v>45033</v>
      </c>
      <c r="F28" vm="66">
        <f ca="1"/>
        <v>74.44</v>
      </c>
      <c r="G28" s="5">
        <f t="shared" ca="1" si="1"/>
        <v>-3.4250129735339918E-2</v>
      </c>
      <c r="H28" vm="64">
        <f ca="1"/>
        <v>45033</v>
      </c>
      <c r="I28" vm="67">
        <f ca="1"/>
        <v>91.5</v>
      </c>
      <c r="J28" s="5">
        <f t="shared" ca="1" si="2"/>
        <v>-2.5455320055383965E-2</v>
      </c>
      <c r="M28" s="7"/>
      <c r="O28" s="5"/>
      <c r="R28" s="5"/>
      <c r="U28" s="5"/>
    </row>
    <row r="29" spans="2:21" x14ac:dyDescent="0.2">
      <c r="B29" s="7" vm="68">
        <f ca="1"/>
        <v>45040</v>
      </c>
      <c r="C29" vm="69">
        <f ca="1"/>
        <v>19.25</v>
      </c>
      <c r="D29" s="5">
        <f t="shared" ca="1" si="0"/>
        <v>-4.4190665342601812E-2</v>
      </c>
      <c r="E29" vm="68">
        <f ca="1"/>
        <v>45040</v>
      </c>
      <c r="F29" vm="70">
        <f ca="1"/>
        <v>71.58</v>
      </c>
      <c r="G29" s="5">
        <f t="shared" ca="1" si="1"/>
        <v>-3.8420204191294993E-2</v>
      </c>
      <c r="H29" vm="68">
        <f ca="1"/>
        <v>45040</v>
      </c>
      <c r="I29" vm="71">
        <f ca="1"/>
        <v>89.71</v>
      </c>
      <c r="J29" s="5">
        <f t="shared" ca="1" si="2"/>
        <v>-1.9562841530054713E-2</v>
      </c>
      <c r="M29" s="7"/>
      <c r="O29" s="5"/>
      <c r="R29" s="5"/>
      <c r="U29" s="5"/>
    </row>
    <row r="30" spans="2:21" x14ac:dyDescent="0.2">
      <c r="B30" s="7" vm="72">
        <f ca="1"/>
        <v>45047</v>
      </c>
      <c r="C30" vm="73">
        <f ca="1"/>
        <v>18.78</v>
      </c>
      <c r="D30" s="5">
        <f t="shared" ca="1" si="0"/>
        <v>-2.4415584415584356E-2</v>
      </c>
      <c r="E30" vm="72">
        <f ca="1"/>
        <v>45047</v>
      </c>
      <c r="F30" vm="74">
        <f ca="1"/>
        <v>69.64</v>
      </c>
      <c r="G30" s="5">
        <f t="shared" ca="1" si="1"/>
        <v>-2.7102542609667473E-2</v>
      </c>
      <c r="H30" vm="72">
        <f ca="1"/>
        <v>45047</v>
      </c>
      <c r="I30" vm="75">
        <f ca="1"/>
        <v>101.95</v>
      </c>
      <c r="J30" s="5">
        <f t="shared" ca="1" si="2"/>
        <v>0.13643963883625024</v>
      </c>
      <c r="M30" s="7"/>
      <c r="O30" s="5"/>
      <c r="R30" s="5"/>
      <c r="U30" s="5"/>
    </row>
    <row r="31" spans="2:21" x14ac:dyDescent="0.2">
      <c r="B31" s="7" vm="76">
        <f ca="1"/>
        <v>45054</v>
      </c>
      <c r="C31" vm="77">
        <f ca="1"/>
        <v>16.62</v>
      </c>
      <c r="D31" s="5">
        <f t="shared" ca="1" si="0"/>
        <v>-0.11501597444089456</v>
      </c>
      <c r="E31" vm="76">
        <f ca="1"/>
        <v>45054</v>
      </c>
      <c r="F31" vm="78">
        <f ca="1"/>
        <v>66.53</v>
      </c>
      <c r="G31" s="5">
        <f t="shared" ca="1" si="1"/>
        <v>-4.4658242389431356E-2</v>
      </c>
      <c r="H31" vm="76">
        <f ca="1"/>
        <v>45054</v>
      </c>
      <c r="I31" vm="79">
        <f ca="1"/>
        <v>84.03</v>
      </c>
      <c r="J31" s="5">
        <f t="shared" ca="1" si="2"/>
        <v>-0.17577243746934773</v>
      </c>
      <c r="M31" s="7"/>
      <c r="O31" s="5"/>
      <c r="R31" s="5"/>
      <c r="U31" s="5"/>
    </row>
    <row r="32" spans="2:21" x14ac:dyDescent="0.2">
      <c r="B32" s="7" vm="80">
        <f ca="1"/>
        <v>45061</v>
      </c>
      <c r="C32" vm="81">
        <f ca="1"/>
        <v>17.649999999999999</v>
      </c>
      <c r="D32" s="5">
        <f t="shared" ca="1" si="0"/>
        <v>6.1973525872442689E-2</v>
      </c>
      <c r="E32" vm="80">
        <f ca="1"/>
        <v>45061</v>
      </c>
      <c r="F32" vm="82">
        <f ca="1"/>
        <v>66.22</v>
      </c>
      <c r="G32" s="5">
        <f t="shared" ca="1" si="1"/>
        <v>-4.6595520817676577E-3</v>
      </c>
      <c r="H32" vm="80">
        <f ca="1"/>
        <v>45061</v>
      </c>
      <c r="I32" vm="83">
        <f ca="1"/>
        <v>84.27</v>
      </c>
      <c r="J32" s="5">
        <f t="shared" ca="1" si="2"/>
        <v>2.8561228132809101E-3</v>
      </c>
      <c r="M32" s="7"/>
      <c r="O32" s="5"/>
      <c r="R32" s="5"/>
      <c r="U32" s="5"/>
    </row>
    <row r="33" spans="2:21" x14ac:dyDescent="0.2">
      <c r="B33" s="7" vm="84">
        <f ca="1"/>
        <v>45068</v>
      </c>
      <c r="C33" vm="85">
        <f ca="1"/>
        <v>17.28</v>
      </c>
      <c r="D33" s="5">
        <f t="shared" ca="1" si="0"/>
        <v>-2.0963172804532436E-2</v>
      </c>
      <c r="E33" vm="84">
        <f ca="1"/>
        <v>45068</v>
      </c>
      <c r="F33" vm="86">
        <f ca="1"/>
        <v>62.85</v>
      </c>
      <c r="G33" s="5">
        <f t="shared" ca="1" si="1"/>
        <v>-5.0890969495620622E-2</v>
      </c>
      <c r="H33" vm="84">
        <f ca="1"/>
        <v>45068</v>
      </c>
      <c r="I33" vm="87">
        <f ca="1"/>
        <v>81.81</v>
      </c>
      <c r="J33" s="5">
        <f t="shared" ca="1" si="2"/>
        <v>-2.9191883232466999E-2</v>
      </c>
      <c r="M33" s="7"/>
      <c r="O33" s="5"/>
      <c r="R33" s="5"/>
      <c r="U33" s="5"/>
    </row>
    <row r="34" spans="2:21" x14ac:dyDescent="0.2">
      <c r="B34" s="7" vm="88">
        <f ca="1"/>
        <v>45076</v>
      </c>
      <c r="C34" vm="89">
        <f ca="1"/>
        <v>17.87</v>
      </c>
      <c r="D34" s="5">
        <f t="shared" ca="1" si="0"/>
        <v>3.4143518518518511E-2</v>
      </c>
      <c r="E34" vm="88">
        <f ca="1"/>
        <v>45076</v>
      </c>
      <c r="F34" vm="90">
        <f ca="1"/>
        <v>62.91</v>
      </c>
      <c r="G34" s="5">
        <f t="shared" ca="1" si="1"/>
        <v>9.5465393794741719E-4</v>
      </c>
      <c r="H34" vm="88">
        <f ca="1"/>
        <v>45076</v>
      </c>
      <c r="I34" vm="91">
        <f ca="1"/>
        <v>82.33</v>
      </c>
      <c r="J34" s="5">
        <f t="shared" ca="1" si="2"/>
        <v>6.3561911746729738E-3</v>
      </c>
      <c r="M34" s="7"/>
      <c r="O34" s="5"/>
      <c r="R34" s="5"/>
      <c r="U34" s="5"/>
    </row>
    <row r="35" spans="2:21" x14ac:dyDescent="0.2">
      <c r="B35" s="7" vm="92">
        <f ca="1"/>
        <v>45082</v>
      </c>
      <c r="C35" vm="93">
        <f ca="1"/>
        <v>17.61</v>
      </c>
      <c r="D35" s="5">
        <f t="shared" ca="1" si="0"/>
        <v>-1.4549524342473506E-2</v>
      </c>
      <c r="E35" vm="92">
        <f ca="1"/>
        <v>45082</v>
      </c>
      <c r="F35" vm="94">
        <f ca="1"/>
        <v>67.97</v>
      </c>
      <c r="G35" s="5">
        <f t="shared" ca="1" si="1"/>
        <v>8.0432363694166314E-2</v>
      </c>
      <c r="H35" vm="92">
        <f ca="1"/>
        <v>45082</v>
      </c>
      <c r="I35" vm="95">
        <f ca="1"/>
        <v>84.76</v>
      </c>
      <c r="J35" s="5">
        <f t="shared" ca="1" si="2"/>
        <v>2.9515364994534277E-2</v>
      </c>
      <c r="M35" s="7"/>
      <c r="O35" s="5"/>
      <c r="R35" s="5"/>
      <c r="U35" s="5"/>
    </row>
    <row r="36" spans="2:21" x14ac:dyDescent="0.2">
      <c r="B36" s="7" vm="96">
        <f ca="1"/>
        <v>45089</v>
      </c>
      <c r="C36" vm="97">
        <f ca="1"/>
        <v>17.07</v>
      </c>
      <c r="D36" s="5">
        <f t="shared" ca="1" si="0"/>
        <v>-3.0664395229982915E-2</v>
      </c>
      <c r="E36" vm="96">
        <f ca="1"/>
        <v>45089</v>
      </c>
      <c r="F36" vm="98">
        <f ca="1"/>
        <v>71.27</v>
      </c>
      <c r="G36" s="5">
        <f t="shared" ca="1" si="1"/>
        <v>4.8550831249080433E-2</v>
      </c>
      <c r="H36" vm="96">
        <f ca="1"/>
        <v>45089</v>
      </c>
      <c r="I36" vm="99">
        <f ca="1"/>
        <v>83.75</v>
      </c>
      <c r="J36" s="5">
        <f t="shared" ca="1" si="2"/>
        <v>-1.1915998112317191E-2</v>
      </c>
      <c r="M36" s="7"/>
      <c r="O36" s="5"/>
      <c r="R36" s="5"/>
      <c r="U36" s="5"/>
    </row>
    <row r="37" spans="2:21" x14ac:dyDescent="0.2">
      <c r="B37" s="7" vm="100">
        <f ca="1"/>
        <v>45097</v>
      </c>
      <c r="C37" vm="101">
        <f ca="1"/>
        <v>17.22</v>
      </c>
      <c r="D37" s="5">
        <f t="shared" ca="1" si="0"/>
        <v>8.7873462214410406E-3</v>
      </c>
      <c r="E37" vm="100">
        <f ca="1"/>
        <v>45097</v>
      </c>
      <c r="F37" vm="102">
        <f ca="1"/>
        <v>70.56</v>
      </c>
      <c r="G37" s="5">
        <f t="shared" ca="1" si="1"/>
        <v>-9.9621158972919011E-3</v>
      </c>
      <c r="H37" vm="100">
        <f ca="1"/>
        <v>45097</v>
      </c>
      <c r="I37" vm="103">
        <f ca="1"/>
        <v>81.56</v>
      </c>
      <c r="J37" s="5">
        <f t="shared" ca="1" si="2"/>
        <v>-2.6149253731343258E-2</v>
      </c>
      <c r="M37" s="7"/>
      <c r="O37" s="5"/>
      <c r="R37" s="5"/>
      <c r="U37" s="5"/>
    </row>
    <row r="38" spans="2:21" x14ac:dyDescent="0.2">
      <c r="B38" s="7" vm="104">
        <f ca="1"/>
        <v>45103</v>
      </c>
      <c r="C38" vm="89">
        <f ca="1"/>
        <v>17.87</v>
      </c>
      <c r="D38" s="5">
        <f t="shared" ca="1" si="0"/>
        <v>3.7746806039489093E-2</v>
      </c>
      <c r="E38" vm="104">
        <f ca="1"/>
        <v>45103</v>
      </c>
      <c r="F38" vm="105">
        <f ca="1"/>
        <v>69.42</v>
      </c>
      <c r="G38" s="5">
        <f t="shared" ca="1" si="1"/>
        <v>-1.6156462585034021E-2</v>
      </c>
      <c r="H38" vm="104">
        <f ca="1"/>
        <v>45103</v>
      </c>
      <c r="I38" vm="106">
        <f ca="1"/>
        <v>80.680000000000007</v>
      </c>
      <c r="J38" s="5">
        <f t="shared" ca="1" si="2"/>
        <v>-1.078960274644428E-2</v>
      </c>
      <c r="M38" s="7"/>
      <c r="O38" s="5"/>
      <c r="R38" s="5"/>
      <c r="U38" s="5"/>
    </row>
    <row r="39" spans="2:21" x14ac:dyDescent="0.2">
      <c r="B39" s="7" vm="107">
        <f ca="1"/>
        <v>45110</v>
      </c>
      <c r="C39" vm="108">
        <f ca="1"/>
        <v>17.91</v>
      </c>
      <c r="D39" s="5">
        <f t="shared" ca="1" si="0"/>
        <v>2.2383883603804781E-3</v>
      </c>
      <c r="E39" vm="107">
        <f ca="1"/>
        <v>45110</v>
      </c>
      <c r="F39" vm="109">
        <f ca="1"/>
        <v>71.849999999999994</v>
      </c>
      <c r="G39" s="5">
        <f t="shared" ca="1" si="1"/>
        <v>3.5004321521175344E-2</v>
      </c>
      <c r="H39" vm="107">
        <f ca="1"/>
        <v>45110</v>
      </c>
      <c r="I39" vm="99">
        <f ca="1"/>
        <v>83.75</v>
      </c>
      <c r="J39" s="5">
        <f t="shared" ca="1" si="2"/>
        <v>3.8051561725334568E-2</v>
      </c>
      <c r="M39" s="7"/>
      <c r="O39" s="5"/>
      <c r="R39" s="5"/>
      <c r="U39" s="5"/>
    </row>
    <row r="40" spans="2:21" x14ac:dyDescent="0.2">
      <c r="B40" s="7" vm="110">
        <f ca="1"/>
        <v>45117</v>
      </c>
      <c r="C40" vm="111">
        <f ca="1"/>
        <v>17.77</v>
      </c>
      <c r="D40" s="5">
        <f t="shared" ca="1" si="0"/>
        <v>-7.8168620882189035E-3</v>
      </c>
      <c r="E40" vm="110">
        <f ca="1"/>
        <v>45117</v>
      </c>
      <c r="F40" vm="112">
        <f ca="1"/>
        <v>73.739999999999995</v>
      </c>
      <c r="G40" s="5">
        <f t="shared" ca="1" si="1"/>
        <v>2.6304801670146146E-2</v>
      </c>
      <c r="H40" vm="110">
        <f ca="1"/>
        <v>45117</v>
      </c>
      <c r="I40" vm="95">
        <f ca="1"/>
        <v>84.76</v>
      </c>
      <c r="J40" s="5">
        <f t="shared" ca="1" si="2"/>
        <v>1.2059701492537375E-2</v>
      </c>
      <c r="M40" s="7"/>
      <c r="O40" s="5"/>
      <c r="R40" s="5"/>
      <c r="U40" s="5"/>
    </row>
    <row r="41" spans="2:21" x14ac:dyDescent="0.2">
      <c r="B41" s="7" vm="113">
        <f ca="1"/>
        <v>45124</v>
      </c>
      <c r="C41" vm="114">
        <f ca="1"/>
        <v>17.850000000000001</v>
      </c>
      <c r="D41" s="5">
        <f t="shared" ca="1" si="0"/>
        <v>4.5019696117052253E-3</v>
      </c>
      <c r="E41" vm="113">
        <f ca="1"/>
        <v>45124</v>
      </c>
      <c r="F41" vm="115">
        <f ca="1"/>
        <v>79.040000000000006</v>
      </c>
      <c r="G41" s="5">
        <f t="shared" ca="1" si="1"/>
        <v>7.1874152427447949E-2</v>
      </c>
      <c r="H41" vm="113">
        <f ca="1"/>
        <v>45124</v>
      </c>
      <c r="I41" vm="116">
        <f ca="1"/>
        <v>90.2</v>
      </c>
      <c r="J41" s="5">
        <f t="shared" ca="1" si="2"/>
        <v>6.4181217555450656E-2</v>
      </c>
      <c r="M41" s="7"/>
      <c r="O41" s="5"/>
      <c r="R41" s="5"/>
      <c r="U41" s="5"/>
    </row>
    <row r="42" spans="2:21" x14ac:dyDescent="0.2">
      <c r="B42" s="7" vm="117">
        <f ca="1"/>
        <v>45131</v>
      </c>
      <c r="C42" vm="118">
        <f ca="1"/>
        <v>17.88</v>
      </c>
      <c r="D42" s="5">
        <f t="shared" ca="1" si="0"/>
        <v>1.6806722689074276E-3</v>
      </c>
      <c r="E42" vm="117">
        <f ca="1"/>
        <v>45131</v>
      </c>
      <c r="F42" vm="119">
        <f ca="1"/>
        <v>81.23</v>
      </c>
      <c r="G42" s="5">
        <f t="shared" ca="1" si="1"/>
        <v>2.770748987854248E-2</v>
      </c>
      <c r="H42" vm="117">
        <f ca="1"/>
        <v>45131</v>
      </c>
      <c r="I42" vm="120">
        <f ca="1"/>
        <v>90.44</v>
      </c>
      <c r="J42" s="5">
        <f t="shared" ca="1" si="2"/>
        <v>2.6607538802660186E-3</v>
      </c>
      <c r="M42" s="7"/>
      <c r="O42" s="5"/>
      <c r="R42" s="5"/>
      <c r="U42" s="5"/>
    </row>
    <row r="43" spans="2:21" x14ac:dyDescent="0.2">
      <c r="B43" s="7" vm="121">
        <f ca="1"/>
        <v>45138</v>
      </c>
      <c r="C43" vm="122">
        <f ca="1"/>
        <v>17.52</v>
      </c>
      <c r="D43" s="5">
        <f t="shared" ca="1" si="0"/>
        <v>-2.0134228187919434E-2</v>
      </c>
      <c r="E43" vm="121">
        <f ca="1"/>
        <v>45138</v>
      </c>
      <c r="F43" vm="123">
        <f ca="1"/>
        <v>81.239999999999995</v>
      </c>
      <c r="G43" s="5">
        <f t="shared" ca="1" si="1"/>
        <v>1.2310722639407738E-4</v>
      </c>
      <c r="H43" vm="121">
        <f ca="1"/>
        <v>45138</v>
      </c>
      <c r="I43" vm="124">
        <f ca="1"/>
        <v>88.92</v>
      </c>
      <c r="J43" s="5">
        <f t="shared" ca="1" si="2"/>
        <v>-1.6806722689075588E-2</v>
      </c>
      <c r="M43" s="7"/>
      <c r="O43" s="5"/>
      <c r="R43" s="5"/>
      <c r="U43" s="5"/>
    </row>
    <row r="44" spans="2:21" x14ac:dyDescent="0.2">
      <c r="B44" s="7" vm="125">
        <f ca="1"/>
        <v>45145</v>
      </c>
      <c r="C44" vm="126">
        <f ca="1"/>
        <v>14.98</v>
      </c>
      <c r="D44" s="5">
        <f t="shared" ca="1" si="0"/>
        <v>-0.14497716894977164</v>
      </c>
      <c r="E44" vm="125">
        <f ca="1"/>
        <v>45145</v>
      </c>
      <c r="F44" vm="127">
        <f ca="1"/>
        <v>79.89</v>
      </c>
      <c r="G44" s="5">
        <f t="shared" ca="1" si="1"/>
        <v>-1.6617429837518394E-2</v>
      </c>
      <c r="H44" vm="125">
        <f ca="1"/>
        <v>45145</v>
      </c>
      <c r="I44" vm="128">
        <f ca="1"/>
        <v>82.41</v>
      </c>
      <c r="J44" s="5">
        <f t="shared" ca="1" si="2"/>
        <v>-7.3211875843454843E-2</v>
      </c>
      <c r="M44" s="7"/>
      <c r="O44" s="5"/>
      <c r="R44" s="5"/>
      <c r="U44" s="5"/>
    </row>
    <row r="45" spans="2:21" x14ac:dyDescent="0.2">
      <c r="B45" s="7" vm="129">
        <f ca="1"/>
        <v>45152</v>
      </c>
      <c r="C45" vm="130">
        <f ca="1"/>
        <v>15.21</v>
      </c>
      <c r="D45" s="5">
        <f t="shared" ca="1" si="0"/>
        <v>1.535380507343127E-2</v>
      </c>
      <c r="E45" vm="129">
        <f ca="1"/>
        <v>45152</v>
      </c>
      <c r="F45" vm="131">
        <f ca="1"/>
        <v>79.05</v>
      </c>
      <c r="G45" s="5">
        <f t="shared" ca="1" si="1"/>
        <v>-1.0514457378896025E-2</v>
      </c>
      <c r="H45" vm="129">
        <f ca="1"/>
        <v>45152</v>
      </c>
      <c r="I45" vm="132">
        <f ca="1"/>
        <v>79.95</v>
      </c>
      <c r="J45" s="5">
        <f t="shared" ca="1" si="2"/>
        <v>-2.9850746268656643E-2</v>
      </c>
      <c r="M45" s="7"/>
      <c r="O45" s="5"/>
      <c r="R45" s="5"/>
      <c r="U45" s="5"/>
    </row>
    <row r="46" spans="2:21" x14ac:dyDescent="0.2">
      <c r="B46" s="7" vm="133">
        <f ca="1"/>
        <v>45159</v>
      </c>
      <c r="C46" vm="134">
        <f ca="1"/>
        <v>14.83</v>
      </c>
      <c r="D46" s="5">
        <f t="shared" ref="D46:D77" ca="1" si="3">(C46-C45)/C45</f>
        <v>-2.4983563445101956E-2</v>
      </c>
      <c r="E46" vm="133">
        <f ca="1"/>
        <v>45159</v>
      </c>
      <c r="F46" vm="135">
        <f ca="1"/>
        <v>73.58</v>
      </c>
      <c r="G46" s="5">
        <f t="shared" ca="1" si="1"/>
        <v>-6.9196710942441481E-2</v>
      </c>
      <c r="H46" vm="133">
        <f ca="1"/>
        <v>45159</v>
      </c>
      <c r="I46" vm="136">
        <f ca="1"/>
        <v>76.8</v>
      </c>
      <c r="J46" s="5">
        <f t="shared" ca="1" si="2"/>
        <v>-3.9399624765478494E-2</v>
      </c>
      <c r="M46" s="7"/>
      <c r="O46" s="5"/>
      <c r="R46" s="5"/>
      <c r="U46" s="5"/>
    </row>
    <row r="47" spans="2:21" x14ac:dyDescent="0.2">
      <c r="B47" s="7" vm="137">
        <f ca="1"/>
        <v>45166</v>
      </c>
      <c r="C47" vm="138">
        <f ca="1"/>
        <v>13.76</v>
      </c>
      <c r="D47" s="5">
        <f t="shared" ca="1" si="3"/>
        <v>-7.2151045178691864E-2</v>
      </c>
      <c r="E47" vm="137">
        <f ca="1"/>
        <v>45166</v>
      </c>
      <c r="F47" vm="139">
        <f ca="1"/>
        <v>79.209999999999994</v>
      </c>
      <c r="G47" s="5">
        <f t="shared" ca="1" si="1"/>
        <v>7.6515357434085288E-2</v>
      </c>
      <c r="H47" vm="137">
        <f ca="1"/>
        <v>45166</v>
      </c>
      <c r="I47" vm="140">
        <f ca="1"/>
        <v>76.650000000000006</v>
      </c>
      <c r="J47" s="5">
        <f t="shared" ca="1" si="2"/>
        <v>-1.953124999999889E-3</v>
      </c>
      <c r="M47" s="7"/>
      <c r="O47" s="5"/>
      <c r="R47" s="5"/>
      <c r="U47" s="5"/>
    </row>
    <row r="48" spans="2:21" x14ac:dyDescent="0.2">
      <c r="B48" s="7" vm="141">
        <f ca="1"/>
        <v>45174</v>
      </c>
      <c r="C48" vm="142">
        <f ca="1"/>
        <v>13.18</v>
      </c>
      <c r="D48" s="5">
        <f t="shared" ca="1" si="3"/>
        <v>-4.215116279069768E-2</v>
      </c>
      <c r="E48" vm="141">
        <f ca="1"/>
        <v>45174</v>
      </c>
      <c r="F48" vm="143">
        <f ca="1"/>
        <v>83.74</v>
      </c>
      <c r="G48" s="5">
        <f t="shared" ca="1" si="1"/>
        <v>5.7189748769094828E-2</v>
      </c>
      <c r="H48" vm="141">
        <f ca="1"/>
        <v>45174</v>
      </c>
      <c r="I48" vm="144">
        <f ca="1"/>
        <v>78.680000000000007</v>
      </c>
      <c r="J48" s="5">
        <f t="shared" ca="1" si="2"/>
        <v>2.6484018264840196E-2</v>
      </c>
      <c r="M48" s="7"/>
      <c r="O48" s="5"/>
      <c r="R48" s="5"/>
      <c r="U48" s="5"/>
    </row>
    <row r="49" spans="2:21" x14ac:dyDescent="0.2">
      <c r="B49" s="7" vm="145">
        <f ca="1"/>
        <v>45180</v>
      </c>
      <c r="C49" vm="146">
        <f ca="1"/>
        <v>12.41</v>
      </c>
      <c r="D49" s="5">
        <f t="shared" ca="1" si="3"/>
        <v>-5.842185128983305E-2</v>
      </c>
      <c r="E49" vm="145">
        <f ca="1"/>
        <v>45180</v>
      </c>
      <c r="F49" vm="147">
        <f ca="1"/>
        <v>82.1</v>
      </c>
      <c r="G49" s="5">
        <f t="shared" ca="1" si="1"/>
        <v>-1.9584427991401965E-2</v>
      </c>
      <c r="H49" vm="145">
        <f ca="1"/>
        <v>45180</v>
      </c>
      <c r="I49" vm="148">
        <f ca="1"/>
        <v>81.19</v>
      </c>
      <c r="J49" s="5">
        <f t="shared" ca="1" si="2"/>
        <v>3.1901372648703491E-2</v>
      </c>
      <c r="M49" s="7"/>
      <c r="O49" s="5"/>
      <c r="R49" s="5"/>
      <c r="U49" s="5"/>
    </row>
    <row r="50" spans="2:21" x14ac:dyDescent="0.2">
      <c r="B50" s="7" vm="149">
        <f ca="1"/>
        <v>45187</v>
      </c>
      <c r="C50" vm="150">
        <f ca="1"/>
        <v>11.59</v>
      </c>
      <c r="D50" s="5">
        <f t="shared" ca="1" si="3"/>
        <v>-6.6075745366639835E-2</v>
      </c>
      <c r="E50" vm="149">
        <f ca="1"/>
        <v>45187</v>
      </c>
      <c r="F50" vm="151">
        <f ca="1"/>
        <v>84.21</v>
      </c>
      <c r="G50" s="5">
        <f t="shared" ca="1" si="1"/>
        <v>2.570036540803897E-2</v>
      </c>
      <c r="H50" vm="149">
        <f ca="1"/>
        <v>45187</v>
      </c>
      <c r="I50" vm="152">
        <f ca="1"/>
        <v>80.349999999999994</v>
      </c>
      <c r="J50" s="5">
        <f t="shared" ca="1" si="2"/>
        <v>-1.034610173666712E-2</v>
      </c>
      <c r="M50" s="7"/>
      <c r="O50" s="5"/>
      <c r="R50" s="5"/>
      <c r="U50" s="5"/>
    </row>
    <row r="51" spans="2:21" x14ac:dyDescent="0.2">
      <c r="B51" s="7" vm="153">
        <f ca="1"/>
        <v>45194</v>
      </c>
      <c r="C51" vm="154">
        <f ca="1"/>
        <v>10.93</v>
      </c>
      <c r="D51" s="5">
        <f t="shared" ca="1" si="3"/>
        <v>-5.6945642795513389E-2</v>
      </c>
      <c r="E51" vm="153">
        <f ca="1"/>
        <v>45194</v>
      </c>
      <c r="F51" vm="155">
        <f ca="1"/>
        <v>85.74</v>
      </c>
      <c r="G51" s="5">
        <f t="shared" ca="1" si="1"/>
        <v>1.8168863555397236E-2</v>
      </c>
      <c r="H51" vm="153">
        <f ca="1"/>
        <v>45194</v>
      </c>
      <c r="I51" vm="156">
        <f ca="1"/>
        <v>82.61</v>
      </c>
      <c r="J51" s="5">
        <f t="shared" ca="1" si="2"/>
        <v>2.8126944617299383E-2</v>
      </c>
      <c r="M51" s="7"/>
      <c r="O51" s="5"/>
      <c r="R51" s="5"/>
      <c r="U51" s="5"/>
    </row>
    <row r="52" spans="2:21" x14ac:dyDescent="0.2">
      <c r="B52" s="7" vm="157">
        <f ca="1"/>
        <v>45201</v>
      </c>
      <c r="C52" vm="158">
        <f ca="1"/>
        <v>10.039999999999999</v>
      </c>
      <c r="D52" s="5">
        <f t="shared" ca="1" si="3"/>
        <v>-8.1427264409881114E-2</v>
      </c>
      <c r="E52" vm="157">
        <f ca="1"/>
        <v>45201</v>
      </c>
      <c r="F52" vm="159">
        <f ca="1"/>
        <v>80.91</v>
      </c>
      <c r="G52" s="5">
        <f t="shared" ca="1" si="1"/>
        <v>-5.6333100069978992E-2</v>
      </c>
      <c r="H52" vm="157">
        <f ca="1"/>
        <v>45201</v>
      </c>
      <c r="I52" vm="160">
        <f ca="1"/>
        <v>80.56</v>
      </c>
      <c r="J52" s="5">
        <f t="shared" ca="1" si="2"/>
        <v>-2.4815397651615993E-2</v>
      </c>
      <c r="M52" s="7"/>
      <c r="O52" s="5"/>
      <c r="R52" s="5"/>
      <c r="U52" s="5"/>
    </row>
    <row r="53" spans="2:21" x14ac:dyDescent="0.2">
      <c r="B53" s="7" vm="161">
        <f ca="1"/>
        <v>45208</v>
      </c>
      <c r="C53" vm="162">
        <f ca="1"/>
        <v>10.15</v>
      </c>
      <c r="D53" s="5">
        <f t="shared" ca="1" si="3"/>
        <v>1.0956175298804903E-2</v>
      </c>
      <c r="E53" vm="161">
        <f ca="1"/>
        <v>45208</v>
      </c>
      <c r="F53" vm="163">
        <f ca="1"/>
        <v>84.55</v>
      </c>
      <c r="G53" s="5">
        <f t="shared" ca="1" si="1"/>
        <v>4.4988258558892609E-2</v>
      </c>
      <c r="H53" vm="161">
        <f ca="1"/>
        <v>45208</v>
      </c>
      <c r="I53" vm="164">
        <f ca="1"/>
        <v>82.87</v>
      </c>
      <c r="J53" s="5">
        <f t="shared" ca="1" si="2"/>
        <v>2.8674280039721972E-2</v>
      </c>
      <c r="M53" s="7"/>
      <c r="O53" s="5"/>
      <c r="R53" s="5"/>
      <c r="U53" s="5"/>
    </row>
    <row r="54" spans="2:21" x14ac:dyDescent="0.2">
      <c r="B54" s="7" vm="165">
        <f ca="1"/>
        <v>45215</v>
      </c>
      <c r="C54" vm="166">
        <f ca="1"/>
        <v>10.09</v>
      </c>
      <c r="D54" s="5">
        <f t="shared" ca="1" si="3"/>
        <v>-5.9113300492611327E-3</v>
      </c>
      <c r="E54" vm="165">
        <f ca="1"/>
        <v>45215</v>
      </c>
      <c r="F54" vm="167">
        <f ca="1"/>
        <v>82.98</v>
      </c>
      <c r="G54" s="5">
        <f t="shared" ca="1" si="1"/>
        <v>-1.8568894145475971E-2</v>
      </c>
      <c r="H54" vm="165">
        <f ca="1"/>
        <v>45215</v>
      </c>
      <c r="I54" vm="168">
        <f ca="1"/>
        <v>80.87</v>
      </c>
      <c r="J54" s="5">
        <f t="shared" ca="1" si="2"/>
        <v>-2.4134186074574633E-2</v>
      </c>
      <c r="M54" s="7"/>
      <c r="O54" s="5"/>
      <c r="R54" s="5"/>
      <c r="U54" s="5"/>
    </row>
    <row r="55" spans="2:21" x14ac:dyDescent="0.2">
      <c r="B55" s="7" vm="169">
        <f ca="1"/>
        <v>45222</v>
      </c>
      <c r="C55" vm="170">
        <f ca="1"/>
        <v>9.32</v>
      </c>
      <c r="D55" s="5">
        <f t="shared" ca="1" si="3"/>
        <v>-7.6313181367690747E-2</v>
      </c>
      <c r="E55" vm="169">
        <f ca="1"/>
        <v>45222</v>
      </c>
      <c r="F55" vm="171">
        <f ca="1"/>
        <v>79.88</v>
      </c>
      <c r="G55" s="5">
        <f t="shared" ca="1" si="1"/>
        <v>-3.7358399614365011E-2</v>
      </c>
      <c r="H55" vm="169">
        <f ca="1"/>
        <v>45222</v>
      </c>
      <c r="I55" vm="172">
        <f ca="1"/>
        <v>78.239999999999995</v>
      </c>
      <c r="J55" s="5">
        <f t="shared" ca="1" si="2"/>
        <v>-3.2521330530481139E-2</v>
      </c>
      <c r="M55" s="7"/>
      <c r="O55" s="5"/>
      <c r="R55" s="5"/>
      <c r="U55" s="5"/>
    </row>
    <row r="56" spans="2:21" x14ac:dyDescent="0.2">
      <c r="B56" s="7" vm="173">
        <f ca="1"/>
        <v>45229</v>
      </c>
      <c r="C56" vm="174">
        <f ca="1"/>
        <v>9.84</v>
      </c>
      <c r="D56" s="5">
        <f t="shared" ca="1" si="3"/>
        <v>5.5793991416308968E-2</v>
      </c>
      <c r="E56" vm="173">
        <f ca="1"/>
        <v>45229</v>
      </c>
      <c r="F56" vm="175">
        <f ca="1"/>
        <v>81.55</v>
      </c>
      <c r="G56" s="5">
        <f t="shared" ca="1" si="1"/>
        <v>2.0906359539308986E-2</v>
      </c>
      <c r="H56" vm="173">
        <f ca="1"/>
        <v>45229</v>
      </c>
      <c r="I56" vm="176">
        <f ca="1"/>
        <v>80.180000000000007</v>
      </c>
      <c r="J56" s="5">
        <f t="shared" ca="1" si="2"/>
        <v>2.4795501022495042E-2</v>
      </c>
      <c r="M56" s="7"/>
      <c r="O56" s="5"/>
      <c r="R56" s="5"/>
      <c r="U56" s="5"/>
    </row>
    <row r="57" spans="2:21" x14ac:dyDescent="0.2">
      <c r="B57" s="7" vm="177">
        <f ca="1"/>
        <v>45236</v>
      </c>
      <c r="C57" vm="178">
        <f ca="1"/>
        <v>8.99</v>
      </c>
      <c r="D57" s="5">
        <f t="shared" ca="1" si="3"/>
        <v>-8.6382113821138182E-2</v>
      </c>
      <c r="E57" vm="177">
        <f ca="1"/>
        <v>45236</v>
      </c>
      <c r="F57" vm="179">
        <f ca="1"/>
        <v>79.53</v>
      </c>
      <c r="G57" s="5">
        <f t="shared" ca="1" si="1"/>
        <v>-2.4770079705701976E-2</v>
      </c>
      <c r="H57" vm="177">
        <f ca="1"/>
        <v>45236</v>
      </c>
      <c r="I57" vm="180">
        <f ca="1"/>
        <v>77.8</v>
      </c>
      <c r="J57" s="5">
        <f t="shared" ca="1" si="2"/>
        <v>-2.9683212771264771E-2</v>
      </c>
      <c r="M57" s="7"/>
      <c r="O57" s="5"/>
      <c r="R57" s="5"/>
      <c r="U57" s="5"/>
    </row>
    <row r="58" spans="2:21" x14ac:dyDescent="0.2">
      <c r="B58" s="7" vm="181">
        <f ca="1"/>
        <v>45243</v>
      </c>
      <c r="C58" vm="182">
        <f ca="1"/>
        <v>9.17</v>
      </c>
      <c r="D58" s="5">
        <f t="shared" ca="1" si="3"/>
        <v>2.0022246941045575E-2</v>
      </c>
      <c r="E58" vm="181">
        <f ca="1"/>
        <v>45243</v>
      </c>
      <c r="F58" vm="183">
        <f ca="1"/>
        <v>77.459999999999994</v>
      </c>
      <c r="G58" s="5">
        <f t="shared" ca="1" si="1"/>
        <v>-2.6027913994719067E-2</v>
      </c>
      <c r="H58" vm="181">
        <f ca="1"/>
        <v>45243</v>
      </c>
      <c r="I58" vm="184">
        <f ca="1"/>
        <v>74.66</v>
      </c>
      <c r="J58" s="5">
        <f t="shared" ca="1" si="2"/>
        <v>-4.0359897172236515E-2</v>
      </c>
      <c r="M58" s="7"/>
      <c r="O58" s="5"/>
      <c r="R58" s="5"/>
      <c r="U58" s="5"/>
    </row>
    <row r="59" spans="2:21" x14ac:dyDescent="0.2">
      <c r="B59" s="7" vm="185">
        <f ca="1"/>
        <v>45250</v>
      </c>
      <c r="C59" vm="186">
        <f ca="1"/>
        <v>9.42</v>
      </c>
      <c r="D59" s="5">
        <f t="shared" ca="1" si="3"/>
        <v>2.7262813522355506E-2</v>
      </c>
      <c r="E59" vm="185">
        <f ca="1"/>
        <v>45250</v>
      </c>
      <c r="F59" vm="187">
        <f ca="1"/>
        <v>78.36</v>
      </c>
      <c r="G59" s="5">
        <f t="shared" ca="1" si="1"/>
        <v>1.1618900077459408E-2</v>
      </c>
      <c r="H59" vm="185">
        <f ca="1"/>
        <v>45250</v>
      </c>
      <c r="I59" vm="188">
        <f ca="1"/>
        <v>70.41</v>
      </c>
      <c r="J59" s="5">
        <f t="shared" ca="1" si="2"/>
        <v>-5.6924725421912674E-2</v>
      </c>
      <c r="M59" s="7"/>
      <c r="O59" s="5"/>
      <c r="R59" s="5"/>
      <c r="U59" s="5"/>
    </row>
    <row r="60" spans="2:21" x14ac:dyDescent="0.2">
      <c r="B60" s="7" vm="189">
        <f ca="1"/>
        <v>45257</v>
      </c>
      <c r="C60" vm="190">
        <f ca="1"/>
        <v>9.99</v>
      </c>
      <c r="D60" s="5">
        <f t="shared" ca="1" si="3"/>
        <v>6.0509554140127417E-2</v>
      </c>
      <c r="E60" vm="189">
        <f ca="1"/>
        <v>45257</v>
      </c>
      <c r="F60" vm="191">
        <f ca="1"/>
        <v>76.31</v>
      </c>
      <c r="G60" s="5">
        <f t="shared" ca="1" si="1"/>
        <v>-2.6161306789178117E-2</v>
      </c>
      <c r="H60" vm="189">
        <f ca="1"/>
        <v>45257</v>
      </c>
      <c r="I60" vm="192">
        <f ca="1"/>
        <v>69.48</v>
      </c>
      <c r="J60" s="5">
        <f t="shared" ca="1" si="2"/>
        <v>-1.3208351086493292E-2</v>
      </c>
      <c r="M60" s="7"/>
      <c r="O60" s="5"/>
      <c r="R60" s="5"/>
      <c r="U60" s="5"/>
    </row>
    <row r="61" spans="2:21" x14ac:dyDescent="0.2">
      <c r="B61" s="7" vm="193">
        <f ca="1"/>
        <v>45264</v>
      </c>
      <c r="C61" vm="194">
        <f ca="1"/>
        <v>10.1</v>
      </c>
      <c r="D61" s="5">
        <f t="shared" ca="1" si="3"/>
        <v>1.1011011011010954E-2</v>
      </c>
      <c r="E61" vm="193">
        <f ca="1"/>
        <v>45264</v>
      </c>
      <c r="F61" vm="195">
        <f ca="1"/>
        <v>76.56</v>
      </c>
      <c r="G61" s="5">
        <f t="shared" ca="1" si="1"/>
        <v>3.2761106014939064E-3</v>
      </c>
      <c r="H61" vm="193">
        <f ca="1"/>
        <v>45264</v>
      </c>
      <c r="I61" vm="196">
        <f ca="1"/>
        <v>66.17</v>
      </c>
      <c r="J61" s="5">
        <f t="shared" ca="1" si="2"/>
        <v>-4.7639608520437568E-2</v>
      </c>
      <c r="M61" s="7"/>
      <c r="O61" s="5"/>
      <c r="R61" s="5"/>
      <c r="U61" s="5"/>
    </row>
    <row r="62" spans="2:21" x14ac:dyDescent="0.2">
      <c r="B62" s="7" vm="197">
        <f ca="1"/>
        <v>45271</v>
      </c>
      <c r="C62" vm="198">
        <f ca="1"/>
        <v>10.99</v>
      </c>
      <c r="D62" s="5">
        <f t="shared" ca="1" si="3"/>
        <v>8.8118811881188183E-2</v>
      </c>
      <c r="E62" vm="197">
        <f ca="1"/>
        <v>45271</v>
      </c>
      <c r="F62" vm="199">
        <f ca="1"/>
        <v>76.239999999999995</v>
      </c>
      <c r="G62" s="5">
        <f t="shared" ca="1" si="1"/>
        <v>-4.1797283176594488E-3</v>
      </c>
      <c r="H62" vm="197">
        <f ca="1"/>
        <v>45271</v>
      </c>
      <c r="I62" vm="200">
        <f ca="1"/>
        <v>67.319999999999993</v>
      </c>
      <c r="J62" s="5">
        <f t="shared" ca="1" si="2"/>
        <v>1.737947710442786E-2</v>
      </c>
      <c r="M62" s="7"/>
      <c r="O62" s="5"/>
      <c r="R62" s="5"/>
      <c r="U62" s="5"/>
    </row>
    <row r="63" spans="2:21" x14ac:dyDescent="0.2">
      <c r="B63" s="7" vm="201">
        <f ca="1"/>
        <v>45278</v>
      </c>
      <c r="C63" vm="202">
        <f ca="1"/>
        <v>11.21</v>
      </c>
      <c r="D63" s="5">
        <f t="shared" ca="1" si="3"/>
        <v>2.0018198362147466E-2</v>
      </c>
      <c r="E63" vm="201">
        <f ca="1"/>
        <v>45278</v>
      </c>
      <c r="F63" vm="203">
        <f ca="1"/>
        <v>80.45</v>
      </c>
      <c r="G63" s="5">
        <f t="shared" ca="1" si="1"/>
        <v>5.5220356768100845E-2</v>
      </c>
      <c r="H63" vm="201">
        <f ca="1"/>
        <v>45278</v>
      </c>
      <c r="I63" vm="204">
        <f ca="1"/>
        <v>69.73</v>
      </c>
      <c r="J63" s="5">
        <f t="shared" ca="1" si="2"/>
        <v>3.5799168152109491E-2</v>
      </c>
      <c r="M63" s="7"/>
      <c r="O63" s="5"/>
      <c r="R63" s="5"/>
      <c r="U63" s="5"/>
    </row>
    <row r="64" spans="2:21" x14ac:dyDescent="0.2">
      <c r="B64" s="7" vm="205">
        <f ca="1"/>
        <v>45286</v>
      </c>
      <c r="C64" vm="206">
        <f ca="1"/>
        <v>10.97</v>
      </c>
      <c r="D64" s="5">
        <f t="shared" ca="1" si="3"/>
        <v>-2.1409455842997343E-2</v>
      </c>
      <c r="E64" vm="205">
        <f ca="1"/>
        <v>45286</v>
      </c>
      <c r="F64" vm="207">
        <f ca="1"/>
        <v>79.5</v>
      </c>
      <c r="G64" s="5">
        <f t="shared" ca="1" si="1"/>
        <v>-1.1808576755748947E-2</v>
      </c>
      <c r="H64" vm="205">
        <f ca="1"/>
        <v>45286</v>
      </c>
      <c r="I64" vm="208">
        <f ca="1"/>
        <v>65.5</v>
      </c>
      <c r="J64" s="5">
        <f t="shared" ca="1" si="2"/>
        <v>-6.0662555571490084E-2</v>
      </c>
      <c r="M64" s="7"/>
      <c r="O64" s="5"/>
      <c r="R64" s="5"/>
      <c r="U64" s="5"/>
    </row>
    <row r="65" spans="2:21" x14ac:dyDescent="0.2">
      <c r="B65" s="7" vm="209">
        <f ca="1"/>
        <v>45293</v>
      </c>
      <c r="C65" vm="210">
        <f ca="1"/>
        <v>10.53</v>
      </c>
      <c r="D65" s="5">
        <f t="shared" ca="1" si="3"/>
        <v>-4.0109389243391178E-2</v>
      </c>
      <c r="E65" vm="209">
        <f ca="1"/>
        <v>45293</v>
      </c>
      <c r="F65" vm="211">
        <f ca="1"/>
        <v>81.14</v>
      </c>
      <c r="G65" s="5">
        <f t="shared" ca="1" si="1"/>
        <v>2.062893081761007E-2</v>
      </c>
      <c r="H65" vm="209">
        <f ca="1"/>
        <v>45293</v>
      </c>
      <c r="I65" vm="212">
        <f ca="1"/>
        <v>69.55</v>
      </c>
      <c r="J65" s="5">
        <f t="shared" ca="1" si="2"/>
        <v>6.1832061068702246E-2</v>
      </c>
      <c r="M65" s="7"/>
      <c r="O65" s="5"/>
      <c r="R65" s="5"/>
      <c r="U65" s="5"/>
    </row>
    <row r="66" spans="2:21" x14ac:dyDescent="0.2">
      <c r="B66" s="7" vm="213">
        <f ca="1"/>
        <v>45299</v>
      </c>
      <c r="C66" vm="162">
        <f ca="1"/>
        <v>10.15</v>
      </c>
      <c r="D66" s="5">
        <f t="shared" ca="1" si="3"/>
        <v>-3.6087369420702661E-2</v>
      </c>
      <c r="E66" vm="213">
        <f ca="1"/>
        <v>45299</v>
      </c>
      <c r="F66" vm="214">
        <f ca="1"/>
        <v>77.19</v>
      </c>
      <c r="G66" s="5">
        <f t="shared" ca="1" si="1"/>
        <v>-4.8681291594774502E-2</v>
      </c>
      <c r="H66" vm="213">
        <f ca="1"/>
        <v>45299</v>
      </c>
      <c r="I66" vm="215">
        <f ca="1"/>
        <v>68.58</v>
      </c>
      <c r="J66" s="5">
        <f t="shared" ca="1" si="2"/>
        <v>-1.3946800862688697E-2</v>
      </c>
      <c r="M66" s="7"/>
      <c r="O66" s="5"/>
      <c r="R66" s="5"/>
      <c r="U66" s="5"/>
    </row>
    <row r="67" spans="2:21" x14ac:dyDescent="0.2">
      <c r="B67" s="7" vm="216">
        <f ca="1"/>
        <v>45307</v>
      </c>
      <c r="C67" vm="217">
        <f ca="1"/>
        <v>9.8699999999999992</v>
      </c>
      <c r="D67" s="5">
        <f t="shared" ca="1" si="3"/>
        <v>-2.7586206896551835E-2</v>
      </c>
      <c r="E67" vm="216">
        <f ca="1"/>
        <v>45307</v>
      </c>
      <c r="F67" vm="218">
        <f ca="1"/>
        <v>74.989999999999995</v>
      </c>
      <c r="G67" s="5">
        <f t="shared" ca="1" si="1"/>
        <v>-2.8501101178909222E-2</v>
      </c>
      <c r="H67" vm="216">
        <f ca="1"/>
        <v>45307</v>
      </c>
      <c r="I67" vm="219">
        <f ca="1"/>
        <v>66.680000000000007</v>
      </c>
      <c r="J67" s="5">
        <f t="shared" ca="1" si="2"/>
        <v>-2.7704870224555141E-2</v>
      </c>
      <c r="M67" s="7"/>
      <c r="O67" s="5"/>
      <c r="R67" s="5"/>
      <c r="U67" s="5"/>
    </row>
    <row r="68" spans="2:21" x14ac:dyDescent="0.2">
      <c r="B68" s="7" vm="220">
        <f ca="1"/>
        <v>45313</v>
      </c>
      <c r="C68" vm="221">
        <f ca="1"/>
        <v>10.79</v>
      </c>
      <c r="D68" s="5">
        <f t="shared" ca="1" si="3"/>
        <v>9.3211752786220875E-2</v>
      </c>
      <c r="E68" vm="220">
        <f ca="1"/>
        <v>45313</v>
      </c>
      <c r="F68" vm="222">
        <f ca="1"/>
        <v>77.489999999999995</v>
      </c>
      <c r="G68" s="5">
        <f t="shared" ca="1" si="1"/>
        <v>3.3337778370449399E-2</v>
      </c>
      <c r="H68" vm="220">
        <f ca="1"/>
        <v>45313</v>
      </c>
      <c r="I68" vm="223">
        <f ca="1"/>
        <v>69.8</v>
      </c>
      <c r="J68" s="5">
        <f t="shared" ca="1" si="2"/>
        <v>4.6790641871625523E-2</v>
      </c>
      <c r="M68" s="7"/>
      <c r="O68" s="5"/>
      <c r="R68" s="5"/>
      <c r="U68" s="5"/>
    </row>
    <row r="69" spans="2:21" x14ac:dyDescent="0.2">
      <c r="B69" s="7" vm="224">
        <f ca="1"/>
        <v>45320</v>
      </c>
      <c r="C69" vm="225">
        <f ca="1"/>
        <v>11.18</v>
      </c>
      <c r="D69" s="5">
        <f t="shared" ca="1" si="3"/>
        <v>3.6144578313253066E-2</v>
      </c>
      <c r="E69" vm="224">
        <f ca="1"/>
        <v>45320</v>
      </c>
      <c r="F69" vm="226">
        <f ca="1"/>
        <v>76.52</v>
      </c>
      <c r="G69" s="5">
        <f t="shared" ca="1" si="1"/>
        <v>-1.2517744225061285E-2</v>
      </c>
      <c r="H69" vm="224">
        <f ca="1"/>
        <v>45320</v>
      </c>
      <c r="I69" vm="227">
        <f ca="1"/>
        <v>71.28</v>
      </c>
      <c r="J69" s="5">
        <f t="shared" ca="1" si="2"/>
        <v>2.1203438395415532E-2</v>
      </c>
      <c r="M69" s="7"/>
      <c r="O69" s="5"/>
      <c r="R69" s="5"/>
      <c r="U69" s="5"/>
    </row>
    <row r="70" spans="2:21" x14ac:dyDescent="0.2">
      <c r="B70" s="7" vm="228">
        <f ca="1"/>
        <v>45327</v>
      </c>
      <c r="C70" vm="229">
        <f ca="1"/>
        <v>10.52</v>
      </c>
      <c r="D70" s="5">
        <f t="shared" ca="1" si="3"/>
        <v>-5.9033989266547418E-2</v>
      </c>
      <c r="E70" vm="228">
        <f ca="1"/>
        <v>45327</v>
      </c>
      <c r="F70" vm="230">
        <f ca="1"/>
        <v>78.08</v>
      </c>
      <c r="G70" s="5">
        <f t="shared" ca="1" si="1"/>
        <v>2.0386826973340336E-2</v>
      </c>
      <c r="H70" vm="228">
        <f ca="1"/>
        <v>45327</v>
      </c>
      <c r="I70" vm="231">
        <f ca="1"/>
        <v>72.33</v>
      </c>
      <c r="J70" s="5">
        <f t="shared" ca="1" si="2"/>
        <v>1.4730639730639691E-2</v>
      </c>
      <c r="M70" s="7"/>
      <c r="O70" s="5"/>
      <c r="R70" s="5"/>
      <c r="U70" s="5"/>
    </row>
    <row r="71" spans="2:21" x14ac:dyDescent="0.2">
      <c r="B71" s="7" vm="232">
        <f ca="1"/>
        <v>45334</v>
      </c>
      <c r="C71" vm="233">
        <f ca="1"/>
        <v>11.17</v>
      </c>
      <c r="D71" s="5">
        <f t="shared" ca="1" si="3"/>
        <v>6.1787072243346043E-2</v>
      </c>
      <c r="E71" vm="232">
        <f ca="1"/>
        <v>45334</v>
      </c>
      <c r="F71" vm="234">
        <f ca="1"/>
        <v>77.7</v>
      </c>
      <c r="G71" s="5">
        <f t="shared" ca="1" si="1"/>
        <v>-4.8668032786884667E-3</v>
      </c>
      <c r="H71" vm="232">
        <f ca="1"/>
        <v>45334</v>
      </c>
      <c r="I71" vm="235">
        <f ca="1"/>
        <v>72.400000000000006</v>
      </c>
      <c r="J71" s="5">
        <f t="shared" ca="1" si="2"/>
        <v>9.6778653394175853E-4</v>
      </c>
      <c r="M71" s="7"/>
      <c r="O71" s="5"/>
      <c r="R71" s="5"/>
      <c r="U71" s="5"/>
    </row>
    <row r="72" spans="2:21" x14ac:dyDescent="0.2">
      <c r="B72" s="7" vm="236">
        <f ca="1"/>
        <v>45342</v>
      </c>
      <c r="C72" vm="154">
        <f ca="1"/>
        <v>10.93</v>
      </c>
      <c r="D72" s="5">
        <f t="shared" ca="1" si="3"/>
        <v>-2.1486123545210404E-2</v>
      </c>
      <c r="E72" vm="236">
        <f ca="1"/>
        <v>45342</v>
      </c>
      <c r="F72" vm="237">
        <f ca="1"/>
        <v>80.41</v>
      </c>
      <c r="G72" s="5">
        <f t="shared" ca="1" si="1"/>
        <v>3.4877734877734795E-2</v>
      </c>
      <c r="H72" vm="236">
        <f ca="1"/>
        <v>45342</v>
      </c>
      <c r="I72" vm="238">
        <f ca="1"/>
        <v>68.63</v>
      </c>
      <c r="J72" s="5">
        <f t="shared" ca="1" si="2"/>
        <v>-5.2071823204420026E-2</v>
      </c>
      <c r="M72" s="7"/>
      <c r="O72" s="5"/>
      <c r="R72" s="5"/>
      <c r="U72" s="5"/>
    </row>
    <row r="73" spans="2:21" x14ac:dyDescent="0.2">
      <c r="B73" s="7" vm="239">
        <f ca="1"/>
        <v>45348</v>
      </c>
      <c r="C73" vm="240">
        <f ca="1"/>
        <v>10.82</v>
      </c>
      <c r="D73" s="5">
        <f t="shared" ca="1" si="3"/>
        <v>-1.0064043915827945E-2</v>
      </c>
      <c r="E73" vm="239">
        <f ca="1"/>
        <v>45348</v>
      </c>
      <c r="F73" vm="241">
        <f ca="1"/>
        <v>82.5</v>
      </c>
      <c r="G73" s="5">
        <f t="shared" ca="1" si="1"/>
        <v>2.5991792065663519E-2</v>
      </c>
      <c r="H73" vm="239">
        <f ca="1"/>
        <v>45348</v>
      </c>
      <c r="I73" vm="242">
        <f ca="1"/>
        <v>66.41</v>
      </c>
      <c r="J73" s="5">
        <f t="shared" ca="1" si="2"/>
        <v>-3.2347369954830237E-2</v>
      </c>
      <c r="M73" s="7"/>
      <c r="O73" s="5"/>
      <c r="R73" s="5"/>
      <c r="U73" s="5"/>
    </row>
    <row r="74" spans="2:21" x14ac:dyDescent="0.2">
      <c r="B74" s="7" vm="243">
        <f ca="1"/>
        <v>45355</v>
      </c>
      <c r="C74" vm="244">
        <f ca="1"/>
        <v>10.83</v>
      </c>
      <c r="D74" s="5">
        <f t="shared" ca="1" si="3"/>
        <v>9.2421441774489708E-4</v>
      </c>
      <c r="E74" vm="243">
        <f ca="1"/>
        <v>45355</v>
      </c>
      <c r="F74" vm="245">
        <f ca="1"/>
        <v>84.34</v>
      </c>
      <c r="G74" s="5">
        <f t="shared" ca="1" si="1"/>
        <v>2.2303030303030345E-2</v>
      </c>
      <c r="H74" vm="243">
        <f ca="1"/>
        <v>45355</v>
      </c>
      <c r="I74" vm="246">
        <f ca="1"/>
        <v>65.319999999999993</v>
      </c>
      <c r="J74" s="5">
        <f t="shared" ca="1" si="2"/>
        <v>-1.6413190784520457E-2</v>
      </c>
      <c r="M74" s="7"/>
      <c r="O74" s="5"/>
      <c r="R74" s="5"/>
      <c r="U74" s="5"/>
    </row>
    <row r="75" spans="2:21" x14ac:dyDescent="0.2">
      <c r="B75" s="7" vm="247">
        <f ca="1"/>
        <v>45362</v>
      </c>
      <c r="C75" vm="248">
        <f ca="1"/>
        <v>12.9</v>
      </c>
      <c r="D75" s="5">
        <f t="shared" ca="1" si="3"/>
        <v>0.1911357340720222</v>
      </c>
      <c r="E75" vm="247">
        <f ca="1"/>
        <v>45362</v>
      </c>
      <c r="F75" vm="249">
        <f ca="1"/>
        <v>83.42</v>
      </c>
      <c r="G75" s="5">
        <f t="shared" ca="1" si="1"/>
        <v>-1.090822859852978E-2</v>
      </c>
      <c r="H75" vm="247">
        <f ca="1"/>
        <v>45362</v>
      </c>
      <c r="I75" vm="250">
        <f ca="1"/>
        <v>64.58</v>
      </c>
      <c r="J75" s="5">
        <f t="shared" ca="1" si="2"/>
        <v>-1.1328842620942973E-2</v>
      </c>
      <c r="M75" s="7"/>
      <c r="O75" s="5"/>
      <c r="R75" s="5"/>
      <c r="U75" s="5"/>
    </row>
    <row r="76" spans="2:21" x14ac:dyDescent="0.2">
      <c r="B76" s="7" vm="251">
        <f ca="1"/>
        <v>45369</v>
      </c>
      <c r="C76" vm="252">
        <f ca="1"/>
        <v>12.62</v>
      </c>
      <c r="D76" s="5">
        <f t="shared" ca="1" si="3"/>
        <v>-2.1705426356589234E-2</v>
      </c>
      <c r="E76" vm="251">
        <f ca="1"/>
        <v>45369</v>
      </c>
      <c r="F76" vm="253">
        <f ca="1"/>
        <v>83.66</v>
      </c>
      <c r="G76" s="5">
        <f t="shared" ca="1" si="1"/>
        <v>2.8770079117716959E-3</v>
      </c>
      <c r="H76" vm="251">
        <f ca="1"/>
        <v>45369</v>
      </c>
      <c r="I76" vm="254">
        <f ca="1"/>
        <v>77.010000000000005</v>
      </c>
      <c r="J76" s="5">
        <f t="shared" ca="1" si="2"/>
        <v>0.19247445029420884</v>
      </c>
      <c r="M76" s="7"/>
      <c r="O76" s="5"/>
      <c r="R76" s="5"/>
      <c r="U76" s="5"/>
    </row>
    <row r="77" spans="2:21" x14ac:dyDescent="0.2">
      <c r="B77" s="7" vm="255">
        <f ca="1"/>
        <v>45376</v>
      </c>
      <c r="C77" vm="256">
        <f ca="1"/>
        <v>12.95</v>
      </c>
      <c r="D77" s="5">
        <f t="shared" ca="1" si="3"/>
        <v>2.6148969889064982E-2</v>
      </c>
      <c r="E77" vm="255">
        <f ca="1"/>
        <v>45376</v>
      </c>
      <c r="F77" vm="257">
        <f ca="1"/>
        <v>83.21</v>
      </c>
      <c r="G77" s="5">
        <f t="shared" ca="1" si="1"/>
        <v>-5.378914654554182E-3</v>
      </c>
      <c r="H77" vm="255">
        <f ca="1"/>
        <v>45376</v>
      </c>
      <c r="I77" vm="258">
        <f ca="1"/>
        <v>78.59</v>
      </c>
      <c r="J77" s="5">
        <f t="shared" ca="1" si="2"/>
        <v>2.0516815997922325E-2</v>
      </c>
      <c r="M77" s="7"/>
      <c r="O77" s="5"/>
      <c r="R77" s="5"/>
      <c r="U77" s="5"/>
    </row>
    <row r="78" spans="2:21" x14ac:dyDescent="0.2">
      <c r="B78" s="7" vm="259">
        <f ca="1"/>
        <v>45383</v>
      </c>
      <c r="C78" vm="260">
        <f ca="1"/>
        <v>12.49</v>
      </c>
      <c r="D78" s="5">
        <f t="shared" ref="D78:D109" ca="1" si="4">(C78-C77)/C77</f>
        <v>-3.5521235521235449E-2</v>
      </c>
      <c r="E78" vm="259">
        <f ca="1"/>
        <v>45383</v>
      </c>
      <c r="F78" vm="261">
        <f ca="1"/>
        <v>85.11</v>
      </c>
      <c r="G78" s="5">
        <f t="shared" ca="1" si="1"/>
        <v>2.2833794015142482E-2</v>
      </c>
      <c r="H78" vm="259">
        <f ca="1"/>
        <v>45383</v>
      </c>
      <c r="I78" vm="262">
        <f ca="1"/>
        <v>80.650000000000006</v>
      </c>
      <c r="J78" s="5">
        <f t="shared" ca="1" si="2"/>
        <v>2.621198625779364E-2</v>
      </c>
      <c r="M78" s="7"/>
      <c r="O78" s="5"/>
      <c r="R78" s="5"/>
      <c r="U78" s="5"/>
    </row>
    <row r="79" spans="2:21" x14ac:dyDescent="0.2">
      <c r="B79" s="7" vm="263">
        <f ca="1"/>
        <v>45390</v>
      </c>
      <c r="C79" vm="264">
        <f ca="1"/>
        <v>11.69</v>
      </c>
      <c r="D79" s="5">
        <f t="shared" ca="1" si="4"/>
        <v>-6.4051240992794287E-2</v>
      </c>
      <c r="E79" vm="263">
        <f ca="1"/>
        <v>45390</v>
      </c>
      <c r="F79" vm="265">
        <f ca="1"/>
        <v>78.099999999999994</v>
      </c>
      <c r="G79" s="5">
        <f t="shared" ref="G79:G142" ca="1" si="5">(F79-F78)/F78</f>
        <v>-8.2363999530020035E-2</v>
      </c>
      <c r="H79" vm="263">
        <f ca="1"/>
        <v>45390</v>
      </c>
      <c r="I79" vm="266">
        <f ca="1"/>
        <v>78.55</v>
      </c>
      <c r="J79" s="5">
        <f t="shared" ref="J79:J142" ca="1" si="6">(I79-I78)/I78</f>
        <v>-2.6038437693738481E-2</v>
      </c>
      <c r="M79" s="7"/>
      <c r="O79" s="5"/>
      <c r="R79" s="5"/>
      <c r="U79" s="5"/>
    </row>
    <row r="80" spans="2:21" x14ac:dyDescent="0.2">
      <c r="B80" s="7" vm="267">
        <f ca="1"/>
        <v>45397</v>
      </c>
      <c r="C80" vm="268">
        <f ca="1"/>
        <v>11.11</v>
      </c>
      <c r="D80" s="5">
        <f t="shared" ca="1" si="4"/>
        <v>-4.9615055603079564E-2</v>
      </c>
      <c r="E80" vm="267">
        <f ca="1"/>
        <v>45397</v>
      </c>
      <c r="F80" vm="269">
        <f ca="1"/>
        <v>79.47</v>
      </c>
      <c r="G80" s="5">
        <f t="shared" ca="1" si="5"/>
        <v>1.7541613316261265E-2</v>
      </c>
      <c r="H80" vm="267">
        <f ca="1"/>
        <v>45397</v>
      </c>
      <c r="I80" vm="270">
        <f ca="1"/>
        <v>76.58</v>
      </c>
      <c r="J80" s="5">
        <f t="shared" ca="1" si="6"/>
        <v>-2.5079567154678534E-2</v>
      </c>
      <c r="M80" s="7"/>
      <c r="O80" s="5"/>
      <c r="R80" s="5"/>
      <c r="U80" s="5"/>
    </row>
    <row r="81" spans="2:21" x14ac:dyDescent="0.2">
      <c r="B81" s="7" vm="271">
        <f ca="1"/>
        <v>45404</v>
      </c>
      <c r="C81" vm="272">
        <f ca="1"/>
        <v>11.47</v>
      </c>
      <c r="D81" s="5">
        <f t="shared" ca="1" si="4"/>
        <v>3.2403240324032516E-2</v>
      </c>
      <c r="E81" vm="271">
        <f ca="1"/>
        <v>45404</v>
      </c>
      <c r="F81" vm="273">
        <f ca="1"/>
        <v>80</v>
      </c>
      <c r="G81" s="5">
        <f t="shared" ca="1" si="5"/>
        <v>6.6691833396250299E-3</v>
      </c>
      <c r="H81" vm="271">
        <f ca="1"/>
        <v>45404</v>
      </c>
      <c r="I81" vm="274">
        <f ca="1"/>
        <v>81.87</v>
      </c>
      <c r="J81" s="5">
        <f t="shared" ca="1" si="6"/>
        <v>6.9078088273700794E-2</v>
      </c>
      <c r="M81" s="7"/>
      <c r="O81" s="5"/>
      <c r="R81" s="5"/>
      <c r="U81" s="5"/>
    </row>
    <row r="82" spans="2:21" x14ac:dyDescent="0.2">
      <c r="B82" s="7" vm="275">
        <f ca="1"/>
        <v>45411</v>
      </c>
      <c r="C82" vm="276">
        <f ca="1"/>
        <v>11.77</v>
      </c>
      <c r="D82" s="5">
        <f t="shared" ca="1" si="4"/>
        <v>2.6155187445509931E-2</v>
      </c>
      <c r="E82" vm="275">
        <f ca="1"/>
        <v>45411</v>
      </c>
      <c r="F82" vm="277">
        <f ca="1"/>
        <v>74.09</v>
      </c>
      <c r="G82" s="5">
        <f t="shared" ca="1" si="5"/>
        <v>-7.3874999999999955E-2</v>
      </c>
      <c r="H82" vm="275">
        <f ca="1"/>
        <v>45411</v>
      </c>
      <c r="I82" vm="278">
        <f ca="1"/>
        <v>80.75</v>
      </c>
      <c r="J82" s="5">
        <f t="shared" ca="1" si="6"/>
        <v>-1.3680224746549462E-2</v>
      </c>
      <c r="M82" s="7"/>
      <c r="O82" s="5"/>
      <c r="R82" s="5"/>
      <c r="U82" s="5"/>
    </row>
    <row r="83" spans="2:21" x14ac:dyDescent="0.2">
      <c r="B83" s="7" vm="279">
        <f ca="1"/>
        <v>45418</v>
      </c>
      <c r="C83" vm="280">
        <f ca="1"/>
        <v>9.14</v>
      </c>
      <c r="D83" s="5">
        <f t="shared" ca="1" si="4"/>
        <v>-0.22344944774851308</v>
      </c>
      <c r="E83" vm="279">
        <f ca="1"/>
        <v>45418</v>
      </c>
      <c r="F83" vm="281">
        <f ca="1"/>
        <v>73.95</v>
      </c>
      <c r="G83" s="5">
        <f t="shared" ca="1" si="5"/>
        <v>-1.8895937373464781E-3</v>
      </c>
      <c r="H83" vm="279">
        <f ca="1"/>
        <v>45418</v>
      </c>
      <c r="I83" vm="282">
        <f ca="1"/>
        <v>78.349999999999994</v>
      </c>
      <c r="J83" s="5">
        <f t="shared" ca="1" si="6"/>
        <v>-2.9721362229102238E-2</v>
      </c>
      <c r="M83" s="7"/>
      <c r="O83" s="5"/>
      <c r="R83" s="5"/>
      <c r="U83" s="5"/>
    </row>
    <row r="84" spans="2:21" x14ac:dyDescent="0.2">
      <c r="B84" s="7" vm="283">
        <f ca="1"/>
        <v>45425</v>
      </c>
      <c r="C84" vm="284">
        <f ca="1"/>
        <v>9.1</v>
      </c>
      <c r="D84" s="5">
        <f t="shared" ca="1" si="4"/>
        <v>-4.3763676148797503E-3</v>
      </c>
      <c r="E84" vm="283">
        <f ca="1"/>
        <v>45425</v>
      </c>
      <c r="F84" vm="285">
        <f ca="1"/>
        <v>76.22</v>
      </c>
      <c r="G84" s="5">
        <f t="shared" ca="1" si="5"/>
        <v>3.069641649763348E-2</v>
      </c>
      <c r="H84" vm="283">
        <f ca="1"/>
        <v>45425</v>
      </c>
      <c r="I84" vm="286">
        <f ca="1"/>
        <v>85.52</v>
      </c>
      <c r="J84" s="5">
        <f t="shared" ca="1" si="6"/>
        <v>9.1512444160816872E-2</v>
      </c>
      <c r="M84" s="7"/>
      <c r="O84" s="5"/>
      <c r="R84" s="5"/>
      <c r="U84" s="5"/>
    </row>
    <row r="85" spans="2:21" x14ac:dyDescent="0.2">
      <c r="B85" s="7" vm="287">
        <f ca="1"/>
        <v>45432</v>
      </c>
      <c r="C85" vm="288">
        <f ca="1"/>
        <v>8.86</v>
      </c>
      <c r="D85" s="5">
        <f t="shared" ca="1" si="4"/>
        <v>-2.6373626373626398E-2</v>
      </c>
      <c r="E85" vm="287">
        <f ca="1"/>
        <v>45432</v>
      </c>
      <c r="F85" vm="289">
        <f ca="1"/>
        <v>77.510000000000005</v>
      </c>
      <c r="G85" s="5">
        <f t="shared" ca="1" si="5"/>
        <v>1.6924691681973317E-2</v>
      </c>
      <c r="H85" vm="287">
        <f ca="1"/>
        <v>45432</v>
      </c>
      <c r="I85" vm="290">
        <f ca="1"/>
        <v>82</v>
      </c>
      <c r="J85" s="5">
        <f t="shared" ca="1" si="6"/>
        <v>-4.1159962581852151E-2</v>
      </c>
      <c r="M85" s="7"/>
      <c r="O85" s="5"/>
      <c r="R85" s="5"/>
      <c r="U85" s="5"/>
    </row>
    <row r="86" spans="2:21" x14ac:dyDescent="0.2">
      <c r="B86" s="7" vm="291">
        <f ca="1"/>
        <v>45440</v>
      </c>
      <c r="C86" vm="292">
        <f ca="1"/>
        <v>8.69</v>
      </c>
      <c r="D86" s="5">
        <f t="shared" ca="1" si="4"/>
        <v>-1.9187358916478547E-2</v>
      </c>
      <c r="E86" vm="291">
        <f ca="1"/>
        <v>45440</v>
      </c>
      <c r="F86" vm="293">
        <f ca="1"/>
        <v>79.73</v>
      </c>
      <c r="G86" s="5">
        <f t="shared" ca="1" si="5"/>
        <v>2.8641465617339681E-2</v>
      </c>
      <c r="H86" vm="291">
        <f ca="1"/>
        <v>45440</v>
      </c>
      <c r="I86" vm="294">
        <f ca="1"/>
        <v>81.790000000000006</v>
      </c>
      <c r="J86" s="5">
        <f t="shared" ca="1" si="6"/>
        <v>-2.5609756097560213E-3</v>
      </c>
      <c r="M86" s="7"/>
      <c r="O86" s="5"/>
      <c r="R86" s="5"/>
      <c r="U86" s="5"/>
    </row>
    <row r="87" spans="2:21" x14ac:dyDescent="0.2">
      <c r="B87" s="7" vm="295">
        <f ca="1"/>
        <v>45446</v>
      </c>
      <c r="C87" vm="296">
        <f ca="1"/>
        <v>8.67</v>
      </c>
      <c r="D87" s="5">
        <f t="shared" ca="1" si="4"/>
        <v>-2.3014959723819993E-3</v>
      </c>
      <c r="E87" vm="295">
        <f ca="1"/>
        <v>45446</v>
      </c>
      <c r="F87" vm="297">
        <f ca="1"/>
        <v>77.86</v>
      </c>
      <c r="G87" s="5">
        <f t="shared" ca="1" si="5"/>
        <v>-2.3454157782516048E-2</v>
      </c>
      <c r="H87" vm="295">
        <f ca="1"/>
        <v>45446</v>
      </c>
      <c r="I87" vm="298">
        <f ca="1"/>
        <v>80.3</v>
      </c>
      <c r="J87" s="5">
        <f t="shared" ca="1" si="6"/>
        <v>-1.8217385988507261E-2</v>
      </c>
      <c r="M87" s="7"/>
      <c r="O87" s="5"/>
      <c r="R87" s="5"/>
      <c r="U87" s="5"/>
    </row>
    <row r="88" spans="2:21" x14ac:dyDescent="0.2">
      <c r="B88" s="7" vm="299">
        <f ca="1"/>
        <v>45453</v>
      </c>
      <c r="C88" vm="300">
        <f ca="1"/>
        <v>8.51</v>
      </c>
      <c r="D88" s="5">
        <f t="shared" ca="1" si="4"/>
        <v>-1.8454440599769337E-2</v>
      </c>
      <c r="E88" vm="299">
        <f ca="1"/>
        <v>45453</v>
      </c>
      <c r="F88" vm="301">
        <f ca="1"/>
        <v>73.260000000000005</v>
      </c>
      <c r="G88" s="5">
        <f t="shared" ca="1" si="5"/>
        <v>-5.908040071923959E-2</v>
      </c>
      <c r="H88" vm="299">
        <f ca="1"/>
        <v>45453</v>
      </c>
      <c r="I88" vm="302">
        <f ca="1"/>
        <v>77</v>
      </c>
      <c r="J88" s="5">
        <f t="shared" ca="1" si="6"/>
        <v>-4.1095890410958867E-2</v>
      </c>
      <c r="M88" s="7"/>
      <c r="O88" s="5"/>
      <c r="R88" s="5"/>
      <c r="U88" s="5"/>
    </row>
    <row r="89" spans="2:21" x14ac:dyDescent="0.2">
      <c r="B89" s="7" vm="303">
        <f ca="1"/>
        <v>45460</v>
      </c>
      <c r="C89" vm="304">
        <f ca="1"/>
        <v>8.7899999999999991</v>
      </c>
      <c r="D89" s="5">
        <f t="shared" ca="1" si="4"/>
        <v>3.2902467685076306E-2</v>
      </c>
      <c r="E89" vm="303">
        <f ca="1"/>
        <v>45460</v>
      </c>
      <c r="F89" vm="305">
        <f ca="1"/>
        <v>73.11</v>
      </c>
      <c r="G89" s="5">
        <f t="shared" ca="1" si="5"/>
        <v>-2.0475020475021252E-3</v>
      </c>
      <c r="H89" vm="303">
        <f ca="1"/>
        <v>45460</v>
      </c>
      <c r="I89" vm="306">
        <f ca="1"/>
        <v>75.63</v>
      </c>
      <c r="J89" s="5">
        <f t="shared" ca="1" si="6"/>
        <v>-1.7792207792207852E-2</v>
      </c>
      <c r="M89" s="7"/>
      <c r="O89" s="5"/>
      <c r="R89" s="5"/>
      <c r="U89" s="5"/>
    </row>
    <row r="90" spans="2:21" x14ac:dyDescent="0.2">
      <c r="B90" s="7" vm="307">
        <f ca="1"/>
        <v>45467</v>
      </c>
      <c r="C90" vm="308">
        <f ca="1"/>
        <v>8.6</v>
      </c>
      <c r="D90" s="5">
        <f t="shared" ca="1" si="4"/>
        <v>-2.1615472127417466E-2</v>
      </c>
      <c r="E90" vm="307">
        <f ca="1"/>
        <v>45467</v>
      </c>
      <c r="F90" vm="309">
        <f ca="1"/>
        <v>74.12</v>
      </c>
      <c r="G90" s="5">
        <f t="shared" ca="1" si="5"/>
        <v>1.3814799617015526E-2</v>
      </c>
      <c r="H90" vm="307">
        <f ca="1"/>
        <v>45467</v>
      </c>
      <c r="I90" vm="310">
        <f ca="1"/>
        <v>75.66</v>
      </c>
      <c r="J90" s="5">
        <f t="shared" ca="1" si="6"/>
        <v>3.9666798889331138E-4</v>
      </c>
      <c r="M90" s="7"/>
      <c r="O90" s="5"/>
      <c r="R90" s="5"/>
      <c r="U90" s="5"/>
    </row>
    <row r="91" spans="2:21" x14ac:dyDescent="0.2">
      <c r="B91" s="7" vm="311">
        <f ca="1"/>
        <v>45474</v>
      </c>
      <c r="C91" vm="312">
        <f ca="1"/>
        <v>8.27</v>
      </c>
      <c r="D91" s="5">
        <f t="shared" ca="1" si="4"/>
        <v>-3.8372093023255824E-2</v>
      </c>
      <c r="E91" vm="311">
        <f ca="1"/>
        <v>45474</v>
      </c>
      <c r="F91" vm="313">
        <f ca="1"/>
        <v>70.14</v>
      </c>
      <c r="G91" s="5">
        <f t="shared" ca="1" si="5"/>
        <v>-5.3696708041014618E-2</v>
      </c>
      <c r="H91" vm="311">
        <f ca="1"/>
        <v>45474</v>
      </c>
      <c r="I91" vm="314">
        <f ca="1"/>
        <v>78.75</v>
      </c>
      <c r="J91" s="5">
        <f t="shared" ca="1" si="6"/>
        <v>4.0840602696272849E-2</v>
      </c>
      <c r="M91" s="7"/>
      <c r="O91" s="5"/>
      <c r="R91" s="5"/>
      <c r="U91" s="5"/>
    </row>
    <row r="92" spans="2:21" x14ac:dyDescent="0.2">
      <c r="B92" s="7" vm="315">
        <f ca="1"/>
        <v>45481</v>
      </c>
      <c r="C92" vm="316">
        <f ca="1"/>
        <v>8.48</v>
      </c>
      <c r="D92" s="5">
        <f t="shared" ca="1" si="4"/>
        <v>2.5392986698911834E-2</v>
      </c>
      <c r="E92" vm="315">
        <f ca="1"/>
        <v>45481</v>
      </c>
      <c r="F92" vm="317">
        <f ca="1"/>
        <v>70.64</v>
      </c>
      <c r="G92" s="5">
        <f t="shared" ca="1" si="5"/>
        <v>7.1285999429712005E-3</v>
      </c>
      <c r="H92" vm="315">
        <f ca="1"/>
        <v>45481</v>
      </c>
      <c r="I92" vm="318">
        <f ca="1"/>
        <v>79.790000000000006</v>
      </c>
      <c r="J92" s="5">
        <f t="shared" ca="1" si="6"/>
        <v>1.3206349206349286E-2</v>
      </c>
      <c r="M92" s="7"/>
      <c r="O92" s="5"/>
      <c r="R92" s="5"/>
      <c r="U92" s="5"/>
    </row>
    <row r="93" spans="2:21" x14ac:dyDescent="0.2">
      <c r="B93" s="7" vm="319">
        <f ca="1"/>
        <v>45488</v>
      </c>
      <c r="C93" vm="320">
        <f ca="1"/>
        <v>9.15</v>
      </c>
      <c r="D93" s="5">
        <f t="shared" ca="1" si="4"/>
        <v>7.9009433962264133E-2</v>
      </c>
      <c r="E93" vm="319">
        <f ca="1"/>
        <v>45488</v>
      </c>
      <c r="F93" vm="321">
        <f ca="1"/>
        <v>71.739999999999995</v>
      </c>
      <c r="G93" s="5">
        <f t="shared" ca="1" si="5"/>
        <v>1.5571913929784744E-2</v>
      </c>
      <c r="H93" vm="319">
        <f ca="1"/>
        <v>45488</v>
      </c>
      <c r="I93" vm="322">
        <f ca="1"/>
        <v>78.459999999999994</v>
      </c>
      <c r="J93" s="5">
        <f t="shared" ca="1" si="6"/>
        <v>-1.6668755483143408E-2</v>
      </c>
      <c r="M93" s="7"/>
      <c r="O93" s="5"/>
      <c r="R93" s="5"/>
      <c r="U93" s="5"/>
    </row>
    <row r="94" spans="2:21" x14ac:dyDescent="0.2">
      <c r="B94" s="7" vm="323">
        <f ca="1"/>
        <v>45495</v>
      </c>
      <c r="C94" vm="324">
        <f ca="1"/>
        <v>9.56</v>
      </c>
      <c r="D94" s="5">
        <f t="shared" ca="1" si="4"/>
        <v>4.4808743169398924E-2</v>
      </c>
      <c r="E94" vm="323">
        <f ca="1"/>
        <v>45495</v>
      </c>
      <c r="F94" vm="325">
        <f ca="1"/>
        <v>75.040000000000006</v>
      </c>
      <c r="G94" s="5">
        <f t="shared" ca="1" si="5"/>
        <v>4.5999442431001E-2</v>
      </c>
      <c r="H94" vm="323">
        <f ca="1"/>
        <v>45495</v>
      </c>
      <c r="I94" vm="326">
        <f ca="1"/>
        <v>78.44</v>
      </c>
      <c r="J94" s="5">
        <f t="shared" ca="1" si="6"/>
        <v>-2.5490695895992894E-4</v>
      </c>
      <c r="M94" s="7"/>
      <c r="O94" s="5"/>
      <c r="R94" s="5"/>
      <c r="U94" s="5"/>
    </row>
    <row r="95" spans="2:21" x14ac:dyDescent="0.2">
      <c r="B95" s="7" vm="327">
        <f ca="1"/>
        <v>45502</v>
      </c>
      <c r="C95" vm="328">
        <f ca="1"/>
        <v>8.85</v>
      </c>
      <c r="D95" s="5">
        <f t="shared" ca="1" si="4"/>
        <v>-7.4267782426778325E-2</v>
      </c>
      <c r="E95" vm="327">
        <f ca="1"/>
        <v>45502</v>
      </c>
      <c r="F95" vm="329">
        <f ca="1"/>
        <v>73.22</v>
      </c>
      <c r="G95" s="5">
        <f t="shared" ca="1" si="5"/>
        <v>-2.425373134328368E-2</v>
      </c>
      <c r="H95" vm="327">
        <f ca="1"/>
        <v>45502</v>
      </c>
      <c r="I95" vm="330">
        <f ca="1"/>
        <v>74.2</v>
      </c>
      <c r="J95" s="5">
        <f t="shared" ca="1" si="6"/>
        <v>-5.4054054054053988E-2</v>
      </c>
      <c r="M95" s="7"/>
      <c r="O95" s="5"/>
      <c r="R95" s="5"/>
      <c r="U95" s="5"/>
    </row>
    <row r="96" spans="2:21" x14ac:dyDescent="0.2">
      <c r="B96" s="7" vm="331">
        <f ca="1"/>
        <v>45509</v>
      </c>
      <c r="C96" vm="332">
        <f ca="1"/>
        <v>5.12</v>
      </c>
      <c r="D96" s="5">
        <f t="shared" ca="1" si="4"/>
        <v>-0.4214689265536723</v>
      </c>
      <c r="E96" vm="331">
        <f ca="1"/>
        <v>45509</v>
      </c>
      <c r="F96" vm="318">
        <f ca="1"/>
        <v>79.790000000000006</v>
      </c>
      <c r="G96" s="5">
        <f t="shared" ca="1" si="5"/>
        <v>8.9729582081398626E-2</v>
      </c>
      <c r="H96" vm="331">
        <f ca="1"/>
        <v>45509</v>
      </c>
      <c r="I96" vm="333">
        <f ca="1"/>
        <v>73.75</v>
      </c>
      <c r="J96" s="5">
        <f t="shared" ca="1" si="6"/>
        <v>-6.064690026954216E-3</v>
      </c>
      <c r="M96" s="7"/>
      <c r="O96" s="5"/>
      <c r="R96" s="5"/>
      <c r="U96" s="5"/>
    </row>
    <row r="97" spans="2:21" x14ac:dyDescent="0.2">
      <c r="B97" s="7" vm="334">
        <f ca="1"/>
        <v>45516</v>
      </c>
      <c r="C97" vm="335">
        <f ca="1"/>
        <v>5.7</v>
      </c>
      <c r="D97" s="5">
        <f t="shared" ca="1" si="4"/>
        <v>0.11328125000000001</v>
      </c>
      <c r="E97" vm="334">
        <f ca="1"/>
        <v>45516</v>
      </c>
      <c r="F97" vm="336">
        <f ca="1"/>
        <v>80.97</v>
      </c>
      <c r="G97" s="5">
        <f t="shared" ca="1" si="5"/>
        <v>1.4788820654217227E-2</v>
      </c>
      <c r="H97" vm="334">
        <f ca="1"/>
        <v>45516</v>
      </c>
      <c r="I97" vm="337">
        <f ca="1"/>
        <v>73</v>
      </c>
      <c r="J97" s="5">
        <f t="shared" ca="1" si="6"/>
        <v>-1.0169491525423728E-2</v>
      </c>
      <c r="M97" s="7"/>
      <c r="O97" s="5"/>
      <c r="R97" s="5"/>
      <c r="U97" s="5"/>
    </row>
    <row r="98" spans="2:21" x14ac:dyDescent="0.2">
      <c r="B98" s="7" vm="338">
        <f ca="1"/>
        <v>45523</v>
      </c>
      <c r="C98" vm="339">
        <f ca="1"/>
        <v>5.87</v>
      </c>
      <c r="D98" s="5">
        <f t="shared" ca="1" si="4"/>
        <v>2.9824561403508757E-2</v>
      </c>
      <c r="E98" vm="338">
        <f ca="1"/>
        <v>45523</v>
      </c>
      <c r="F98" vm="237">
        <f ca="1"/>
        <v>80.41</v>
      </c>
      <c r="G98" s="5">
        <f t="shared" ca="1" si="5"/>
        <v>-6.9161417809065371E-3</v>
      </c>
      <c r="H98" vm="338">
        <f ca="1"/>
        <v>45523</v>
      </c>
      <c r="I98" vm="340">
        <f ca="1"/>
        <v>70.739999999999995</v>
      </c>
      <c r="J98" s="5">
        <f t="shared" ca="1" si="6"/>
        <v>-3.0958904109589111E-2</v>
      </c>
      <c r="M98" s="7"/>
      <c r="O98" s="5"/>
      <c r="R98" s="5"/>
      <c r="U98" s="5"/>
    </row>
    <row r="99" spans="2:21" x14ac:dyDescent="0.2">
      <c r="B99" s="7" vm="341">
        <f ca="1"/>
        <v>45530</v>
      </c>
      <c r="C99" vm="342">
        <f ca="1"/>
        <v>5.74</v>
      </c>
      <c r="D99" s="5">
        <f t="shared" ca="1" si="4"/>
        <v>-2.214650766609879E-2</v>
      </c>
      <c r="E99" vm="341">
        <f ca="1"/>
        <v>45530</v>
      </c>
      <c r="F99" vm="343">
        <f ca="1"/>
        <v>83.09</v>
      </c>
      <c r="G99" s="5">
        <f t="shared" ca="1" si="5"/>
        <v>3.3329187911951337E-2</v>
      </c>
      <c r="H99" vm="341">
        <f ca="1"/>
        <v>45530</v>
      </c>
      <c r="I99" vm="344">
        <f ca="1"/>
        <v>70.239999999999995</v>
      </c>
      <c r="J99" s="5">
        <f t="shared" ca="1" si="6"/>
        <v>-7.0681368391292063E-3</v>
      </c>
      <c r="M99" s="7"/>
      <c r="O99" s="5"/>
      <c r="R99" s="5"/>
      <c r="U99" s="5"/>
    </row>
    <row r="100" spans="2:21" x14ac:dyDescent="0.2">
      <c r="B100" s="7" vm="345">
        <f ca="1"/>
        <v>45538</v>
      </c>
      <c r="C100" vm="346">
        <f ca="1"/>
        <v>6.26</v>
      </c>
      <c r="D100" s="5">
        <f t="shared" ca="1" si="4"/>
        <v>9.0592334494773441E-2</v>
      </c>
      <c r="E100" vm="345">
        <f ca="1"/>
        <v>45538</v>
      </c>
      <c r="F100" vm="347">
        <f ca="1"/>
        <v>78.56</v>
      </c>
      <c r="G100" s="5">
        <f t="shared" ca="1" si="5"/>
        <v>-5.4519196052473233E-2</v>
      </c>
      <c r="H100" vm="345">
        <f ca="1"/>
        <v>45538</v>
      </c>
      <c r="I100" vm="348">
        <f ca="1"/>
        <v>67.17</v>
      </c>
      <c r="J100" s="5">
        <f t="shared" ca="1" si="6"/>
        <v>-4.3707289293849566E-2</v>
      </c>
      <c r="M100" s="7"/>
      <c r="O100" s="5"/>
      <c r="R100" s="5"/>
      <c r="U100" s="5"/>
    </row>
    <row r="101" spans="2:21" x14ac:dyDescent="0.2">
      <c r="B101" s="7" vm="349">
        <f ca="1"/>
        <v>45544</v>
      </c>
      <c r="C101" vm="350">
        <f ca="1"/>
        <v>6.13</v>
      </c>
      <c r="D101" s="5">
        <f t="shared" ca="1" si="4"/>
        <v>-2.0766773162939282E-2</v>
      </c>
      <c r="E101" vm="349">
        <f ca="1"/>
        <v>45544</v>
      </c>
      <c r="F101" vm="351">
        <f ca="1"/>
        <v>79.150000000000006</v>
      </c>
      <c r="G101" s="5">
        <f t="shared" ca="1" si="5"/>
        <v>7.5101832993890449E-3</v>
      </c>
      <c r="H101" vm="349">
        <f ca="1"/>
        <v>45544</v>
      </c>
      <c r="I101" vm="352">
        <f ca="1"/>
        <v>67.56</v>
      </c>
      <c r="J101" s="5">
        <f t="shared" ca="1" si="6"/>
        <v>5.8061634658329699E-3</v>
      </c>
      <c r="M101" s="7"/>
      <c r="O101" s="5"/>
      <c r="R101" s="5"/>
      <c r="U101" s="5"/>
    </row>
    <row r="102" spans="2:21" x14ac:dyDescent="0.2">
      <c r="B102" s="7" vm="353">
        <f ca="1"/>
        <v>45551</v>
      </c>
      <c r="C102" vm="354">
        <f ca="1"/>
        <v>5.56</v>
      </c>
      <c r="D102" s="5">
        <f t="shared" ca="1" si="4"/>
        <v>-9.2985318107667261E-2</v>
      </c>
      <c r="E102" vm="353">
        <f ca="1"/>
        <v>45551</v>
      </c>
      <c r="F102" vm="355">
        <f ca="1"/>
        <v>81.61</v>
      </c>
      <c r="G102" s="5">
        <f t="shared" ca="1" si="5"/>
        <v>3.1080227416298088E-2</v>
      </c>
      <c r="H102" vm="353">
        <f ca="1"/>
        <v>45551</v>
      </c>
      <c r="I102" vm="356">
        <f ca="1"/>
        <v>69.95</v>
      </c>
      <c r="J102" s="5">
        <f t="shared" ca="1" si="6"/>
        <v>3.5375962107756079E-2</v>
      </c>
      <c r="M102" s="7"/>
      <c r="O102" s="5"/>
      <c r="R102" s="5"/>
      <c r="U102" s="5"/>
    </row>
    <row r="103" spans="2:21" x14ac:dyDescent="0.2">
      <c r="B103" s="7" vm="357">
        <f ca="1"/>
        <v>45558</v>
      </c>
      <c r="C103" vm="358">
        <f ca="1"/>
        <v>5.27</v>
      </c>
      <c r="D103" s="5">
        <f t="shared" ca="1" si="4"/>
        <v>-5.2158273381294973E-2</v>
      </c>
      <c r="E103" vm="357">
        <f ca="1"/>
        <v>45558</v>
      </c>
      <c r="F103" vm="59">
        <f ca="1"/>
        <v>85.64</v>
      </c>
      <c r="G103" s="5">
        <f t="shared" ca="1" si="5"/>
        <v>4.9381203283911303E-2</v>
      </c>
      <c r="H103" vm="357">
        <f ca="1"/>
        <v>45558</v>
      </c>
      <c r="I103" vm="359">
        <f ca="1"/>
        <v>67.400000000000006</v>
      </c>
      <c r="J103" s="5">
        <f t="shared" ca="1" si="6"/>
        <v>-3.6454610436025693E-2</v>
      </c>
      <c r="M103" s="7"/>
      <c r="O103" s="5"/>
      <c r="R103" s="5"/>
      <c r="U103" s="5"/>
    </row>
    <row r="104" spans="2:21" x14ac:dyDescent="0.2">
      <c r="B104" s="7" vm="360">
        <f ca="1"/>
        <v>45565</v>
      </c>
      <c r="C104" vm="361">
        <f ca="1"/>
        <v>5.19</v>
      </c>
      <c r="D104" s="5">
        <f t="shared" ca="1" si="4"/>
        <v>-1.5180265654648802E-2</v>
      </c>
      <c r="E104" vm="360">
        <f ca="1"/>
        <v>45565</v>
      </c>
      <c r="F104" vm="362">
        <f ca="1"/>
        <v>90.15</v>
      </c>
      <c r="G104" s="5">
        <f t="shared" ca="1" si="5"/>
        <v>5.2662307333022011E-2</v>
      </c>
      <c r="H104" vm="360">
        <f ca="1"/>
        <v>45565</v>
      </c>
      <c r="I104" vm="363">
        <f ca="1"/>
        <v>68.81</v>
      </c>
      <c r="J104" s="5">
        <f t="shared" ca="1" si="6"/>
        <v>2.0919881305637929E-2</v>
      </c>
      <c r="M104" s="7"/>
      <c r="O104" s="5"/>
      <c r="R104" s="5"/>
      <c r="U104" s="5"/>
    </row>
    <row r="105" spans="2:21" x14ac:dyDescent="0.2">
      <c r="B105" s="7" vm="364">
        <f ca="1"/>
        <v>45572</v>
      </c>
      <c r="C105" vm="365">
        <f ca="1"/>
        <v>5.15</v>
      </c>
      <c r="D105" s="5">
        <f t="shared" ca="1" si="4"/>
        <v>-7.7071290944123374E-3</v>
      </c>
      <c r="E105" vm="364">
        <f ca="1"/>
        <v>45572</v>
      </c>
      <c r="F105" vm="366">
        <f ca="1"/>
        <v>87.81</v>
      </c>
      <c r="G105" s="5">
        <f t="shared" ca="1" si="5"/>
        <v>-2.5956738768718839E-2</v>
      </c>
      <c r="H105" vm="364">
        <f ca="1"/>
        <v>45572</v>
      </c>
      <c r="I105" vm="367">
        <f ca="1"/>
        <v>71.069999999999993</v>
      </c>
      <c r="J105" s="5">
        <f t="shared" ca="1" si="6"/>
        <v>3.2844063362883168E-2</v>
      </c>
      <c r="M105" s="7"/>
      <c r="O105" s="5"/>
      <c r="R105" s="5"/>
      <c r="U105" s="5"/>
    </row>
    <row r="106" spans="2:21" x14ac:dyDescent="0.2">
      <c r="B106" s="7" vm="368">
        <f ca="1"/>
        <v>45579</v>
      </c>
      <c r="C106" vm="369">
        <f ca="1"/>
        <v>5.46</v>
      </c>
      <c r="D106" s="5">
        <f t="shared" ca="1" si="4"/>
        <v>6.0194174757281477E-2</v>
      </c>
      <c r="E106" vm="368">
        <f ca="1"/>
        <v>45579</v>
      </c>
      <c r="F106" vm="370">
        <f ca="1"/>
        <v>83.99</v>
      </c>
      <c r="G106" s="5">
        <f t="shared" ca="1" si="5"/>
        <v>-4.3503017879512669E-2</v>
      </c>
      <c r="H106" vm="368">
        <f ca="1"/>
        <v>45579</v>
      </c>
      <c r="I106" vm="371">
        <f ca="1"/>
        <v>73.849999999999994</v>
      </c>
      <c r="J106" s="5">
        <f t="shared" ca="1" si="6"/>
        <v>3.9116364148023094E-2</v>
      </c>
      <c r="M106" s="7"/>
      <c r="O106" s="5"/>
      <c r="R106" s="5"/>
      <c r="U106" s="5"/>
    </row>
    <row r="107" spans="2:21" x14ac:dyDescent="0.2">
      <c r="B107" s="7" vm="372">
        <f ca="1"/>
        <v>45586</v>
      </c>
      <c r="C107" vm="373">
        <f ca="1"/>
        <v>5.37</v>
      </c>
      <c r="D107" s="5">
        <f t="shared" ca="1" si="4"/>
        <v>-1.6483516483516456E-2</v>
      </c>
      <c r="E107" vm="372">
        <f ca="1"/>
        <v>45586</v>
      </c>
      <c r="F107" vm="374">
        <f ca="1"/>
        <v>83.19</v>
      </c>
      <c r="G107" s="5">
        <f t="shared" ca="1" si="5"/>
        <v>-9.5249434456482589E-3</v>
      </c>
      <c r="H107" vm="372">
        <f ca="1"/>
        <v>45586</v>
      </c>
      <c r="I107" vm="375">
        <f ca="1"/>
        <v>70.7</v>
      </c>
      <c r="J107" s="5">
        <f t="shared" ca="1" si="6"/>
        <v>-4.2654028436018843E-2</v>
      </c>
      <c r="M107" s="7"/>
      <c r="O107" s="5"/>
      <c r="R107" s="5"/>
      <c r="U107" s="5"/>
    </row>
    <row r="108" spans="2:21" x14ac:dyDescent="0.2">
      <c r="B108" s="7" vm="376">
        <f ca="1"/>
        <v>45593</v>
      </c>
      <c r="C108" vm="377">
        <f ca="1"/>
        <v>5.26</v>
      </c>
      <c r="D108" s="5">
        <f t="shared" ca="1" si="4"/>
        <v>-2.0484171322160207E-2</v>
      </c>
      <c r="E108" vm="376">
        <f ca="1"/>
        <v>45593</v>
      </c>
      <c r="F108" vm="378">
        <f ca="1"/>
        <v>84.06</v>
      </c>
      <c r="G108" s="5">
        <f t="shared" ca="1" si="5"/>
        <v>1.0457987738910981E-2</v>
      </c>
      <c r="H108" vm="376">
        <f ca="1"/>
        <v>45593</v>
      </c>
      <c r="I108" vm="379">
        <f ca="1"/>
        <v>65.91</v>
      </c>
      <c r="J108" s="5">
        <f t="shared" ca="1" si="6"/>
        <v>-6.7751060820367831E-2</v>
      </c>
      <c r="M108" s="7"/>
      <c r="O108" s="5"/>
      <c r="R108" s="5"/>
      <c r="U108" s="5"/>
    </row>
    <row r="109" spans="2:21" x14ac:dyDescent="0.2">
      <c r="B109" s="7" vm="380">
        <f ca="1"/>
        <v>45600</v>
      </c>
      <c r="C109" vm="381">
        <f ca="1"/>
        <v>5.77</v>
      </c>
      <c r="D109" s="5">
        <f t="shared" ca="1" si="4"/>
        <v>9.6958174904942934E-2</v>
      </c>
      <c r="E109" vm="380">
        <f ca="1"/>
        <v>45600</v>
      </c>
      <c r="F109" vm="382">
        <f ca="1"/>
        <v>83.71</v>
      </c>
      <c r="G109" s="5">
        <f t="shared" ca="1" si="5"/>
        <v>-4.1636926005235372E-3</v>
      </c>
      <c r="H109" vm="380">
        <f ca="1"/>
        <v>45600</v>
      </c>
      <c r="I109" vm="383">
        <f ca="1"/>
        <v>69.040000000000006</v>
      </c>
      <c r="J109" s="5">
        <f t="shared" ca="1" si="6"/>
        <v>4.7489000151722194E-2</v>
      </c>
      <c r="M109" s="7"/>
      <c r="O109" s="5"/>
      <c r="R109" s="5"/>
      <c r="U109" s="5"/>
    </row>
    <row r="110" spans="2:21" x14ac:dyDescent="0.2">
      <c r="B110" s="7" vm="384">
        <f ca="1"/>
        <v>45607</v>
      </c>
      <c r="C110" vm="385">
        <f ca="1"/>
        <v>6.06</v>
      </c>
      <c r="D110" s="5">
        <f t="shared" ref="D110:D141" ca="1" si="7">(C110-C109)/C109</f>
        <v>5.0259965337954952E-2</v>
      </c>
      <c r="E110" vm="384">
        <f ca="1"/>
        <v>45607</v>
      </c>
      <c r="F110" vm="386">
        <f ca="1"/>
        <v>87.07</v>
      </c>
      <c r="G110" s="5">
        <f t="shared" ca="1" si="5"/>
        <v>4.0138573647115039E-2</v>
      </c>
      <c r="H110" vm="384">
        <f ca="1"/>
        <v>45607</v>
      </c>
      <c r="I110" vm="387">
        <f ca="1"/>
        <v>72.37</v>
      </c>
      <c r="J110" s="5">
        <f t="shared" ca="1" si="6"/>
        <v>4.8232908458864396E-2</v>
      </c>
      <c r="M110" s="7"/>
      <c r="O110" s="5"/>
      <c r="R110" s="5"/>
      <c r="U110" s="5"/>
    </row>
    <row r="111" spans="2:21" x14ac:dyDescent="0.2">
      <c r="B111" s="7" vm="388">
        <f ca="1"/>
        <v>45614</v>
      </c>
      <c r="C111" vm="389">
        <f ca="1"/>
        <v>5.91</v>
      </c>
      <c r="D111" s="5">
        <f t="shared" ca="1" si="7"/>
        <v>-2.4752475247524667E-2</v>
      </c>
      <c r="E111" vm="388">
        <f ca="1"/>
        <v>45614</v>
      </c>
      <c r="F111" vm="390">
        <f ca="1"/>
        <v>89.79</v>
      </c>
      <c r="G111" s="5">
        <f t="shared" ca="1" si="5"/>
        <v>3.1239232801194596E-2</v>
      </c>
      <c r="H111" vm="388">
        <f ca="1"/>
        <v>45614</v>
      </c>
      <c r="I111" vm="391">
        <f ca="1"/>
        <v>71.81</v>
      </c>
      <c r="J111" s="5">
        <f t="shared" ca="1" si="6"/>
        <v>-7.7380129888075478E-3</v>
      </c>
      <c r="M111" s="7"/>
      <c r="O111" s="5"/>
      <c r="R111" s="5"/>
      <c r="U111" s="5"/>
    </row>
    <row r="112" spans="2:21" x14ac:dyDescent="0.2">
      <c r="B112" s="7" vm="392">
        <f ca="1"/>
        <v>45621</v>
      </c>
      <c r="C112" vm="393">
        <f ca="1"/>
        <v>6.01</v>
      </c>
      <c r="D112" s="5">
        <f t="shared" ca="1" si="7"/>
        <v>1.6920473773265592E-2</v>
      </c>
      <c r="E112" vm="392">
        <f ca="1"/>
        <v>45621</v>
      </c>
      <c r="F112" vm="394">
        <f ca="1"/>
        <v>89.66</v>
      </c>
      <c r="G112" s="5">
        <f t="shared" ca="1" si="5"/>
        <v>-1.4478226974051639E-3</v>
      </c>
      <c r="H112" vm="392">
        <f ca="1"/>
        <v>45621</v>
      </c>
      <c r="I112" vm="395">
        <f ca="1"/>
        <v>81.599999999999994</v>
      </c>
      <c r="J112" s="5">
        <f t="shared" ca="1" si="6"/>
        <v>0.13633198718841374</v>
      </c>
      <c r="M112" s="7"/>
      <c r="O112" s="5"/>
      <c r="R112" s="5"/>
      <c r="U112" s="5"/>
    </row>
    <row r="113" spans="2:21" x14ac:dyDescent="0.2">
      <c r="B113" s="7" vm="396">
        <f ca="1"/>
        <v>45628</v>
      </c>
      <c r="C113" vm="397">
        <f ca="1"/>
        <v>5.76</v>
      </c>
      <c r="D113" s="5">
        <f t="shared" ca="1" si="7"/>
        <v>-4.15973377703827E-2</v>
      </c>
      <c r="E113" vm="396">
        <f ca="1"/>
        <v>45628</v>
      </c>
      <c r="F113" vm="398">
        <f ca="1"/>
        <v>88.44</v>
      </c>
      <c r="G113" s="5">
        <f t="shared" ca="1" si="5"/>
        <v>-1.3606959625250936E-2</v>
      </c>
      <c r="H113" vm="396">
        <f ca="1"/>
        <v>45628</v>
      </c>
      <c r="I113" vm="399">
        <f ca="1"/>
        <v>77.11</v>
      </c>
      <c r="J113" s="5">
        <f t="shared" ca="1" si="6"/>
        <v>-5.5024509803921512E-2</v>
      </c>
      <c r="M113" s="7"/>
      <c r="O113" s="5"/>
      <c r="R113" s="5"/>
      <c r="U113" s="5"/>
    </row>
    <row r="114" spans="2:21" x14ac:dyDescent="0.2">
      <c r="B114" s="7" vm="400">
        <f ca="1"/>
        <v>45635</v>
      </c>
      <c r="C114" vm="377">
        <f ca="1"/>
        <v>5.26</v>
      </c>
      <c r="D114" s="5">
        <f t="shared" ca="1" si="7"/>
        <v>-8.6805555555555552E-2</v>
      </c>
      <c r="E114" vm="400">
        <f ca="1"/>
        <v>45635</v>
      </c>
      <c r="F114" vm="401">
        <f ca="1"/>
        <v>89.5</v>
      </c>
      <c r="G114" s="5">
        <f t="shared" ca="1" si="5"/>
        <v>1.198552691090007E-2</v>
      </c>
      <c r="H114" vm="400">
        <f ca="1"/>
        <v>45635</v>
      </c>
      <c r="I114" vm="402">
        <f ca="1"/>
        <v>75.14</v>
      </c>
      <c r="J114" s="5">
        <f t="shared" ca="1" si="6"/>
        <v>-2.5547918557904278E-2</v>
      </c>
      <c r="M114" s="7"/>
      <c r="O114" s="5"/>
      <c r="R114" s="5"/>
      <c r="U114" s="5"/>
    </row>
    <row r="115" spans="2:21" x14ac:dyDescent="0.2">
      <c r="B115" s="7" vm="403">
        <f ca="1"/>
        <v>45642</v>
      </c>
      <c r="C115" vm="404">
        <f ca="1"/>
        <v>4.4400000000000004</v>
      </c>
      <c r="D115" s="5">
        <f t="shared" ca="1" si="7"/>
        <v>-0.15589353612167289</v>
      </c>
      <c r="E115" vm="403">
        <f ca="1"/>
        <v>45642</v>
      </c>
      <c r="F115" vm="405">
        <f ca="1"/>
        <v>84.98</v>
      </c>
      <c r="G115" s="5">
        <f t="shared" ca="1" si="5"/>
        <v>-5.0502793296089338E-2</v>
      </c>
      <c r="H115" vm="403">
        <f ca="1"/>
        <v>45642</v>
      </c>
      <c r="I115" vm="406">
        <f ca="1"/>
        <v>74.209999999999994</v>
      </c>
      <c r="J115" s="5">
        <f t="shared" ca="1" si="6"/>
        <v>-1.2376896459941533E-2</v>
      </c>
      <c r="M115" s="7"/>
      <c r="O115" s="5"/>
      <c r="R115" s="5"/>
      <c r="U115" s="5"/>
    </row>
    <row r="116" spans="2:21" x14ac:dyDescent="0.2">
      <c r="B116" s="7" vm="407">
        <f ca="1"/>
        <v>45649</v>
      </c>
      <c r="C116" vm="408">
        <f ca="1"/>
        <v>4.5599999999999996</v>
      </c>
      <c r="D116" s="5">
        <f t="shared" ca="1" si="7"/>
        <v>2.7027027027026848E-2</v>
      </c>
      <c r="E116" vm="407">
        <f ca="1"/>
        <v>45649</v>
      </c>
      <c r="F116" vm="409">
        <f ca="1"/>
        <v>84.75</v>
      </c>
      <c r="G116" s="5">
        <f t="shared" ca="1" si="5"/>
        <v>-2.7065191809838075E-3</v>
      </c>
      <c r="H116" vm="407">
        <f ca="1"/>
        <v>45649</v>
      </c>
      <c r="I116" vm="410">
        <f ca="1"/>
        <v>75.25</v>
      </c>
      <c r="J116" s="5">
        <f t="shared" ca="1" si="6"/>
        <v>1.4014283789246818E-2</v>
      </c>
      <c r="M116" s="7"/>
      <c r="O116" s="5"/>
      <c r="R116" s="5"/>
      <c r="U116" s="5"/>
    </row>
    <row r="117" spans="2:21" x14ac:dyDescent="0.2">
      <c r="B117" s="7" vm="411">
        <f ca="1"/>
        <v>45656</v>
      </c>
      <c r="C117" vm="412">
        <f ca="1"/>
        <v>4.6399999999999997</v>
      </c>
      <c r="D117" s="5">
        <f t="shared" ca="1" si="7"/>
        <v>1.7543859649122823E-2</v>
      </c>
      <c r="E117" vm="411">
        <f ca="1"/>
        <v>45656</v>
      </c>
      <c r="F117" vm="413">
        <f ca="1"/>
        <v>88.51</v>
      </c>
      <c r="G117" s="5">
        <f t="shared" ca="1" si="5"/>
        <v>4.4365781710914515E-2</v>
      </c>
      <c r="H117" vm="411">
        <f ca="1"/>
        <v>45656</v>
      </c>
      <c r="I117" vm="414">
        <f ca="1"/>
        <v>76.97</v>
      </c>
      <c r="J117" s="5">
        <f t="shared" ca="1" si="6"/>
        <v>2.2857142857142843E-2</v>
      </c>
      <c r="M117" s="7"/>
      <c r="O117" s="5"/>
      <c r="R117" s="5"/>
      <c r="U117" s="5"/>
    </row>
    <row r="118" spans="2:21" x14ac:dyDescent="0.2">
      <c r="B118" s="7" vm="415">
        <f ca="1"/>
        <v>45663</v>
      </c>
      <c r="C118" vm="408">
        <f ca="1"/>
        <v>4.5599999999999996</v>
      </c>
      <c r="D118" s="5">
        <f t="shared" ca="1" si="7"/>
        <v>-1.7241379310344845E-2</v>
      </c>
      <c r="E118" vm="415">
        <f ca="1"/>
        <v>45663</v>
      </c>
      <c r="F118" vm="416">
        <f ca="1"/>
        <v>88.76</v>
      </c>
      <c r="G118" s="5">
        <f t="shared" ca="1" si="5"/>
        <v>2.8245396000451924E-3</v>
      </c>
      <c r="H118" vm="415">
        <f ca="1"/>
        <v>45663</v>
      </c>
      <c r="I118" vm="417">
        <f ca="1"/>
        <v>75.069999999999993</v>
      </c>
      <c r="J118" s="5">
        <f t="shared" ca="1" si="6"/>
        <v>-2.468494218526706E-2</v>
      </c>
      <c r="M118" s="7"/>
      <c r="O118" s="5"/>
      <c r="R118" s="5"/>
      <c r="U118" s="5"/>
    </row>
    <row r="119" spans="2:21" x14ac:dyDescent="0.2">
      <c r="B119" s="7" vm="418">
        <f ca="1"/>
        <v>45670</v>
      </c>
      <c r="C119" vm="419">
        <f ca="1"/>
        <v>5.08</v>
      </c>
      <c r="D119" s="5">
        <f t="shared" ca="1" si="7"/>
        <v>0.11403508771929835</v>
      </c>
      <c r="E119" vm="418">
        <f ca="1"/>
        <v>45670</v>
      </c>
      <c r="F119" vm="420">
        <f ca="1"/>
        <v>97.01</v>
      </c>
      <c r="G119" s="5">
        <f t="shared" ca="1" si="5"/>
        <v>9.2947273546642631E-2</v>
      </c>
      <c r="H119" vm="418">
        <f ca="1"/>
        <v>45670</v>
      </c>
      <c r="I119" vm="421">
        <f ca="1"/>
        <v>83.94</v>
      </c>
      <c r="J119" s="5">
        <f t="shared" ca="1" si="6"/>
        <v>0.11815638737178641</v>
      </c>
      <c r="M119" s="7"/>
      <c r="O119" s="5"/>
      <c r="R119" s="5"/>
      <c r="U119" s="5"/>
    </row>
    <row r="120" spans="2:21" x14ac:dyDescent="0.2">
      <c r="B120" s="7" vm="422">
        <f ca="1"/>
        <v>45678</v>
      </c>
      <c r="C120" vm="423">
        <f ca="1"/>
        <v>5.66</v>
      </c>
      <c r="D120" s="5">
        <f t="shared" ca="1" si="7"/>
        <v>0.11417322834645671</v>
      </c>
      <c r="E120" vm="422">
        <f ca="1"/>
        <v>45678</v>
      </c>
      <c r="F120" vm="424">
        <f ca="1"/>
        <v>88.1</v>
      </c>
      <c r="G120" s="5">
        <f t="shared" ca="1" si="5"/>
        <v>-9.1846201422533871E-2</v>
      </c>
      <c r="H120" vm="422">
        <f ca="1"/>
        <v>45678</v>
      </c>
      <c r="I120" vm="425">
        <f ca="1"/>
        <v>82.34</v>
      </c>
      <c r="J120" s="5">
        <f t="shared" ca="1" si="6"/>
        <v>-1.9061234214915349E-2</v>
      </c>
      <c r="M120" s="7"/>
      <c r="O120" s="5"/>
      <c r="R120" s="5"/>
      <c r="U120" s="5"/>
    </row>
    <row r="121" spans="2:21" x14ac:dyDescent="0.2">
      <c r="B121" s="7" vm="426">
        <f ca="1"/>
        <v>45684</v>
      </c>
      <c r="C121" vm="427">
        <f ca="1"/>
        <v>6.18</v>
      </c>
      <c r="D121" s="5">
        <f t="shared" ca="1" si="7"/>
        <v>9.1872791519434546E-2</v>
      </c>
      <c r="E121" vm="426">
        <f ca="1"/>
        <v>45684</v>
      </c>
      <c r="F121" vm="428">
        <f ca="1"/>
        <v>92.21</v>
      </c>
      <c r="G121" s="5">
        <f t="shared" ca="1" si="5"/>
        <v>4.6651532349602717E-2</v>
      </c>
      <c r="H121" vm="426">
        <f ca="1"/>
        <v>45684</v>
      </c>
      <c r="I121" vm="429">
        <f ca="1"/>
        <v>81.5</v>
      </c>
      <c r="J121" s="5">
        <f t="shared" ca="1" si="6"/>
        <v>-1.0201603109060035E-2</v>
      </c>
      <c r="M121" s="7"/>
      <c r="O121" s="5"/>
      <c r="R121" s="5"/>
      <c r="U121" s="5"/>
    </row>
    <row r="122" spans="2:21" x14ac:dyDescent="0.2">
      <c r="B122" s="7" vm="430">
        <f ca="1"/>
        <v>45691</v>
      </c>
      <c r="C122" vm="431">
        <f ca="1"/>
        <v>5.51</v>
      </c>
      <c r="D122" s="5">
        <f t="shared" ca="1" si="7"/>
        <v>-0.10841423948220064</v>
      </c>
      <c r="E122" vm="430">
        <f ca="1"/>
        <v>45691</v>
      </c>
      <c r="F122" vm="432">
        <f ca="1"/>
        <v>84.05</v>
      </c>
      <c r="G122" s="5">
        <f t="shared" ca="1" si="5"/>
        <v>-8.8493655785706504E-2</v>
      </c>
      <c r="H122" vm="430">
        <f ca="1"/>
        <v>45691</v>
      </c>
      <c r="I122" vm="207">
        <f ca="1"/>
        <v>79.5</v>
      </c>
      <c r="J122" s="5">
        <f t="shared" ca="1" si="6"/>
        <v>-2.4539877300613498E-2</v>
      </c>
      <c r="M122" s="7"/>
      <c r="O122" s="5"/>
      <c r="R122" s="5"/>
      <c r="U122" s="5"/>
    </row>
    <row r="123" spans="2:21" x14ac:dyDescent="0.2">
      <c r="B123" s="7" vm="433">
        <f ca="1"/>
        <v>45698</v>
      </c>
      <c r="C123" vm="434">
        <f ca="1"/>
        <v>5.41</v>
      </c>
      <c r="D123" s="5">
        <f t="shared" ca="1" si="7"/>
        <v>-1.8148820326678701E-2</v>
      </c>
      <c r="E123" vm="433">
        <f ca="1"/>
        <v>45698</v>
      </c>
      <c r="F123" vm="435">
        <f ca="1"/>
        <v>82.48</v>
      </c>
      <c r="G123" s="5">
        <f t="shared" ca="1" si="5"/>
        <v>-1.8679357525282488E-2</v>
      </c>
      <c r="H123" vm="433">
        <f ca="1"/>
        <v>45698</v>
      </c>
      <c r="I123" vm="436">
        <f ca="1"/>
        <v>77.400000000000006</v>
      </c>
      <c r="J123" s="5">
        <f t="shared" ca="1" si="6"/>
        <v>-2.641509433962257E-2</v>
      </c>
      <c r="M123" s="7"/>
      <c r="O123" s="5"/>
      <c r="R123" s="5"/>
      <c r="U123" s="5"/>
    </row>
    <row r="124" spans="2:21" x14ac:dyDescent="0.2">
      <c r="B124" s="7" vm="437">
        <f ca="1"/>
        <v>45706</v>
      </c>
      <c r="C124" vm="438">
        <f ca="1"/>
        <v>5.28</v>
      </c>
      <c r="D124" s="5">
        <f t="shared" ca="1" si="7"/>
        <v>-2.4029574861367815E-2</v>
      </c>
      <c r="E124" vm="437">
        <f ca="1"/>
        <v>45706</v>
      </c>
      <c r="F124" vm="439">
        <f ca="1"/>
        <v>77.900000000000006</v>
      </c>
      <c r="G124" s="5">
        <f t="shared" ca="1" si="5"/>
        <v>-5.5528612997090179E-2</v>
      </c>
      <c r="H124" vm="437">
        <f ca="1"/>
        <v>45706</v>
      </c>
      <c r="I124" vm="440">
        <f ca="1"/>
        <v>79.739999999999995</v>
      </c>
      <c r="J124" s="5">
        <f t="shared" ca="1" si="6"/>
        <v>3.0232558139534741E-2</v>
      </c>
      <c r="M124" s="7"/>
      <c r="O124" s="5"/>
      <c r="R124" s="5"/>
      <c r="U124" s="5"/>
    </row>
    <row r="125" spans="2:21" x14ac:dyDescent="0.2">
      <c r="B125" s="7" vm="441">
        <f ca="1"/>
        <v>45712</v>
      </c>
      <c r="C125" vm="442">
        <f ca="1"/>
        <v>5.14</v>
      </c>
      <c r="D125" s="5">
        <f t="shared" ca="1" si="7"/>
        <v>-2.651515151515162E-2</v>
      </c>
      <c r="E125" vm="441">
        <f ca="1"/>
        <v>45712</v>
      </c>
      <c r="F125" vm="443">
        <f ca="1"/>
        <v>81.02</v>
      </c>
      <c r="G125" s="5">
        <f t="shared" ca="1" si="5"/>
        <v>4.0051347881899742E-2</v>
      </c>
      <c r="H125" vm="441">
        <f ca="1"/>
        <v>45712</v>
      </c>
      <c r="I125" vm="444">
        <f ca="1"/>
        <v>77.790000000000006</v>
      </c>
      <c r="J125" s="5">
        <f t="shared" ca="1" si="6"/>
        <v>-2.4454477050413703E-2</v>
      </c>
      <c r="M125" s="7"/>
      <c r="O125" s="5"/>
      <c r="R125" s="5"/>
      <c r="U125" s="5"/>
    </row>
    <row r="126" spans="2:21" x14ac:dyDescent="0.2">
      <c r="B126" s="7" vm="445">
        <f ca="1"/>
        <v>45719</v>
      </c>
      <c r="C126" vm="446">
        <f ca="1"/>
        <v>4.68</v>
      </c>
      <c r="D126" s="5">
        <f t="shared" ca="1" si="7"/>
        <v>-8.9494163424124515E-2</v>
      </c>
      <c r="E126" vm="445">
        <f ca="1"/>
        <v>45719</v>
      </c>
      <c r="F126" vm="447">
        <f ca="1"/>
        <v>77.13</v>
      </c>
      <c r="G126" s="5">
        <f t="shared" ca="1" si="5"/>
        <v>-4.8012836336706992E-2</v>
      </c>
      <c r="H126" vm="445">
        <f ca="1"/>
        <v>45719</v>
      </c>
      <c r="I126" vm="448">
        <f ca="1"/>
        <v>76.5</v>
      </c>
      <c r="J126" s="5">
        <f t="shared" ca="1" si="6"/>
        <v>-1.6583108368684998E-2</v>
      </c>
      <c r="M126" s="7"/>
      <c r="O126" s="5"/>
      <c r="R126" s="5"/>
      <c r="U126" s="5"/>
    </row>
    <row r="127" spans="2:21" x14ac:dyDescent="0.2">
      <c r="B127" s="7" vm="449">
        <f ca="1"/>
        <v>45726</v>
      </c>
      <c r="C127" vm="450">
        <f ca="1"/>
        <v>4.43</v>
      </c>
      <c r="D127" s="5">
        <f t="shared" ca="1" si="7"/>
        <v>-5.3418803418803423E-2</v>
      </c>
      <c r="E127" vm="449">
        <f ca="1"/>
        <v>45726</v>
      </c>
      <c r="F127" vm="451">
        <f ca="1"/>
        <v>76.63</v>
      </c>
      <c r="G127" s="5">
        <f t="shared" ca="1" si="5"/>
        <v>-6.4825619084662263E-3</v>
      </c>
      <c r="H127" vm="449">
        <f ca="1"/>
        <v>45726</v>
      </c>
      <c r="I127" vm="452">
        <f ca="1"/>
        <v>75.73</v>
      </c>
      <c r="J127" s="5">
        <f t="shared" ca="1" si="6"/>
        <v>-1.0065359477124131E-2</v>
      </c>
      <c r="M127" s="7"/>
      <c r="O127" s="5"/>
      <c r="R127" s="5"/>
      <c r="U127" s="5"/>
    </row>
    <row r="128" spans="2:21" x14ac:dyDescent="0.2">
      <c r="B128" s="7" vm="453">
        <f ca="1"/>
        <v>45733</v>
      </c>
      <c r="C128" vm="454">
        <f ca="1"/>
        <v>4.54</v>
      </c>
      <c r="D128" s="5">
        <f t="shared" ca="1" si="7"/>
        <v>2.483069977426644E-2</v>
      </c>
      <c r="E128" vm="453">
        <f ca="1"/>
        <v>45733</v>
      </c>
      <c r="F128" vm="455">
        <f ca="1"/>
        <v>76.78</v>
      </c>
      <c r="G128" s="5">
        <f t="shared" ca="1" si="5"/>
        <v>1.9574579146549092E-3</v>
      </c>
      <c r="H128" vm="453">
        <f ca="1"/>
        <v>45733</v>
      </c>
      <c r="I128" vm="456">
        <f ca="1"/>
        <v>75.38</v>
      </c>
      <c r="J128" s="5">
        <f t="shared" ca="1" si="6"/>
        <v>-4.6216822923545297E-3</v>
      </c>
      <c r="M128" s="7"/>
      <c r="O128" s="5"/>
      <c r="R128" s="5"/>
      <c r="U128" s="5"/>
    </row>
    <row r="129" spans="2:21" x14ac:dyDescent="0.2">
      <c r="B129" s="7" vm="457">
        <f ca="1"/>
        <v>45740</v>
      </c>
      <c r="C129" vm="450">
        <f ca="1"/>
        <v>4.43</v>
      </c>
      <c r="D129" s="5">
        <f t="shared" ca="1" si="7"/>
        <v>-2.4229074889867912E-2</v>
      </c>
      <c r="E129" vm="457">
        <f ca="1"/>
        <v>45740</v>
      </c>
      <c r="F129" vm="458">
        <f ca="1"/>
        <v>77.39</v>
      </c>
      <c r="G129" s="5">
        <f t="shared" ca="1" si="5"/>
        <v>7.9447772857514903E-3</v>
      </c>
      <c r="H129" vm="457">
        <f ca="1"/>
        <v>45740</v>
      </c>
      <c r="I129" vm="459">
        <f ca="1"/>
        <v>74.849999999999994</v>
      </c>
      <c r="J129" s="5">
        <f t="shared" ca="1" si="6"/>
        <v>-7.0310427169010502E-3</v>
      </c>
      <c r="M129" s="7"/>
      <c r="O129" s="5"/>
      <c r="R129" s="5"/>
      <c r="U129" s="5"/>
    </row>
    <row r="130" spans="2:21" x14ac:dyDescent="0.2">
      <c r="B130" s="7" vm="460">
        <f ca="1"/>
        <v>45747</v>
      </c>
      <c r="C130" vm="461">
        <f ca="1"/>
        <v>3.8</v>
      </c>
      <c r="D130" s="5">
        <f t="shared" ca="1" si="7"/>
        <v>-0.14221218961625282</v>
      </c>
      <c r="E130" vm="460">
        <f ca="1"/>
        <v>45747</v>
      </c>
      <c r="F130" vm="462">
        <f ca="1"/>
        <v>73.069999999999993</v>
      </c>
      <c r="G130" s="5">
        <f t="shared" ca="1" si="5"/>
        <v>-5.5821165525261757E-2</v>
      </c>
      <c r="H130" vm="460">
        <f ca="1"/>
        <v>45747</v>
      </c>
      <c r="I130" vm="463">
        <f ca="1"/>
        <v>69.58</v>
      </c>
      <c r="J130" s="5">
        <f t="shared" ca="1" si="6"/>
        <v>-7.0407481629926466E-2</v>
      </c>
      <c r="M130" s="7"/>
      <c r="O130" s="5"/>
      <c r="R130" s="5"/>
      <c r="U130" s="5"/>
    </row>
    <row r="131" spans="2:21" x14ac:dyDescent="0.2">
      <c r="B131" s="7" vm="464">
        <f ca="1"/>
        <v>45754</v>
      </c>
      <c r="C131" vm="465">
        <f ca="1"/>
        <v>3.76</v>
      </c>
      <c r="D131" s="5">
        <f t="shared" ca="1" si="7"/>
        <v>-1.0526315789473694E-2</v>
      </c>
      <c r="E131" vm="464">
        <f ca="1"/>
        <v>45754</v>
      </c>
      <c r="F131" vm="466">
        <f ca="1"/>
        <v>72</v>
      </c>
      <c r="G131" s="5">
        <f t="shared" ca="1" si="5"/>
        <v>-1.4643492541398568E-2</v>
      </c>
      <c r="H131" vm="464">
        <f ca="1"/>
        <v>45754</v>
      </c>
      <c r="I131" vm="466">
        <f ca="1"/>
        <v>72</v>
      </c>
      <c r="J131" s="5">
        <f t="shared" ca="1" si="6"/>
        <v>3.4780109226789334E-2</v>
      </c>
      <c r="M131" s="7"/>
      <c r="O131" s="5"/>
      <c r="R131" s="5"/>
      <c r="U131" s="5"/>
    </row>
    <row r="132" spans="2:21" x14ac:dyDescent="0.2">
      <c r="B132" s="7" vm="467">
        <f ca="1"/>
        <v>45761</v>
      </c>
      <c r="C132" vm="461">
        <f ca="1"/>
        <v>3.8</v>
      </c>
      <c r="D132" s="5">
        <f t="shared" ca="1" si="7"/>
        <v>1.0638297872340436E-2</v>
      </c>
      <c r="E132" vm="467">
        <f ca="1"/>
        <v>45761</v>
      </c>
      <c r="F132" vm="468">
        <f ca="1"/>
        <v>74.900000000000006</v>
      </c>
      <c r="G132" s="5">
        <f t="shared" ca="1" si="5"/>
        <v>4.0277777777777857E-2</v>
      </c>
      <c r="H132" vm="467">
        <f ca="1"/>
        <v>45761</v>
      </c>
      <c r="I132" vm="66">
        <f ca="1"/>
        <v>74.44</v>
      </c>
      <c r="J132" s="5">
        <f t="shared" ca="1" si="6"/>
        <v>3.3888888888888857E-2</v>
      </c>
      <c r="M132" s="7"/>
      <c r="O132" s="5"/>
      <c r="R132" s="5"/>
      <c r="U132" s="5"/>
    </row>
    <row r="133" spans="2:21" x14ac:dyDescent="0.2">
      <c r="B133" s="7" vm="469">
        <f ca="1"/>
        <v>45768</v>
      </c>
      <c r="C133" vm="470">
        <f ca="1"/>
        <v>4.1100000000000003</v>
      </c>
      <c r="D133" s="5">
        <f t="shared" ca="1" si="7"/>
        <v>8.1578947368421181E-2</v>
      </c>
      <c r="E133" vm="469">
        <f ca="1"/>
        <v>45768</v>
      </c>
      <c r="F133" vm="42">
        <f ca="1"/>
        <v>78.47</v>
      </c>
      <c r="G133" s="5">
        <f t="shared" ca="1" si="5"/>
        <v>4.7663551401869064E-2</v>
      </c>
      <c r="H133" vm="469">
        <f ca="1"/>
        <v>45768</v>
      </c>
      <c r="I133" vm="471">
        <f ca="1"/>
        <v>78.5</v>
      </c>
      <c r="J133" s="5">
        <f t="shared" ca="1" si="6"/>
        <v>5.4540569586243988E-2</v>
      </c>
      <c r="M133" s="7"/>
      <c r="O133" s="5"/>
      <c r="R133" s="5"/>
      <c r="U133" s="5"/>
    </row>
    <row r="134" spans="2:21" x14ac:dyDescent="0.2">
      <c r="B134" s="7" vm="472">
        <f ca="1"/>
        <v>45775</v>
      </c>
      <c r="C134" vm="473">
        <f ca="1"/>
        <v>4.25</v>
      </c>
      <c r="D134" s="5">
        <f t="shared" ca="1" si="7"/>
        <v>3.406326034063252E-2</v>
      </c>
      <c r="E134" vm="472">
        <f ca="1"/>
        <v>45775</v>
      </c>
      <c r="F134" vm="474">
        <f ca="1"/>
        <v>80.599999999999994</v>
      </c>
      <c r="G134" s="5">
        <f t="shared" ca="1" si="5"/>
        <v>2.7144131515228691E-2</v>
      </c>
      <c r="H134" vm="472">
        <f ca="1"/>
        <v>45775</v>
      </c>
      <c r="I134" vm="475">
        <f ca="1"/>
        <v>79.56</v>
      </c>
      <c r="J134" s="5">
        <f t="shared" ca="1" si="6"/>
        <v>1.3503184713375825E-2</v>
      </c>
      <c r="M134" s="7"/>
      <c r="O134" s="5"/>
      <c r="R134" s="5"/>
      <c r="U134" s="5"/>
    </row>
    <row r="135" spans="2:21" x14ac:dyDescent="0.2">
      <c r="B135" s="7" vm="476">
        <f ca="1"/>
        <v>45782</v>
      </c>
      <c r="C135" vm="477">
        <f ca="1"/>
        <v>4.45</v>
      </c>
      <c r="D135" s="5">
        <f t="shared" ca="1" si="7"/>
        <v>4.7058823529411806E-2</v>
      </c>
      <c r="E135" vm="476">
        <f ca="1"/>
        <v>45782</v>
      </c>
      <c r="F135" vm="128">
        <f ca="1"/>
        <v>82.41</v>
      </c>
      <c r="G135" s="5">
        <f t="shared" ca="1" si="5"/>
        <v>2.2456575682382164E-2</v>
      </c>
      <c r="H135" vm="476">
        <f ca="1"/>
        <v>45782</v>
      </c>
      <c r="I135" vm="478">
        <f ca="1"/>
        <v>82.94</v>
      </c>
      <c r="J135" s="5">
        <f t="shared" ca="1" si="6"/>
        <v>4.2483660130718894E-2</v>
      </c>
      <c r="M135" s="7"/>
      <c r="O135" s="5"/>
      <c r="R135" s="5"/>
      <c r="U135" s="5"/>
    </row>
    <row r="136" spans="2:21" x14ac:dyDescent="0.2">
      <c r="B136" s="7" vm="479">
        <f ca="1"/>
        <v>45789</v>
      </c>
      <c r="C136" vm="480">
        <f ca="1"/>
        <v>4.09</v>
      </c>
      <c r="D136" s="5">
        <f t="shared" ca="1" si="7"/>
        <v>-8.0898876404494446E-2</v>
      </c>
      <c r="E136" vm="479">
        <f ca="1"/>
        <v>45789</v>
      </c>
      <c r="F136" vm="481">
        <f ca="1"/>
        <v>87.78</v>
      </c>
      <c r="G136" s="5">
        <f t="shared" ca="1" si="5"/>
        <v>6.5161994903531181E-2</v>
      </c>
      <c r="H136" vm="479">
        <f ca="1"/>
        <v>45789</v>
      </c>
      <c r="I136" vm="290">
        <f ca="1"/>
        <v>82</v>
      </c>
      <c r="J136" s="5">
        <f t="shared" ca="1" si="6"/>
        <v>-1.1333494092114755E-2</v>
      </c>
      <c r="M136" s="7"/>
      <c r="O136" s="5"/>
      <c r="R136" s="5"/>
      <c r="U136" s="5"/>
    </row>
    <row r="137" spans="2:21" x14ac:dyDescent="0.2">
      <c r="B137" s="7" vm="482">
        <f ca="1"/>
        <v>45796</v>
      </c>
      <c r="C137" vm="483">
        <f ca="1"/>
        <v>4.1399999999999997</v>
      </c>
      <c r="D137" s="5">
        <f t="shared" ca="1" si="7"/>
        <v>1.2224938875305581E-2</v>
      </c>
      <c r="E137" vm="482">
        <f ca="1"/>
        <v>45796</v>
      </c>
      <c r="F137" vm="484">
        <f ca="1"/>
        <v>88.89</v>
      </c>
      <c r="G137" s="5">
        <f t="shared" ca="1" si="5"/>
        <v>1.2645249487354744E-2</v>
      </c>
      <c r="H137" vm="482">
        <f ca="1"/>
        <v>45796</v>
      </c>
      <c r="I137" vm="485">
        <f ca="1"/>
        <v>81.7</v>
      </c>
      <c r="J137" s="5">
        <f t="shared" ca="1" si="6"/>
        <v>-3.6585365853658192E-3</v>
      </c>
      <c r="M137" s="7"/>
      <c r="O137" s="5"/>
      <c r="R137" s="5"/>
      <c r="U137" s="5"/>
    </row>
    <row r="138" spans="2:21" x14ac:dyDescent="0.2">
      <c r="B138" s="7" vm="486">
        <f ca="1"/>
        <v>45804</v>
      </c>
      <c r="C138" vm="487">
        <f ca="1"/>
        <v>4.92</v>
      </c>
      <c r="D138" s="5">
        <f t="shared" ca="1" si="7"/>
        <v>0.18840579710144936</v>
      </c>
      <c r="E138" vm="486">
        <f ca="1"/>
        <v>45804</v>
      </c>
      <c r="F138" vm="488">
        <f ca="1"/>
        <v>90.71</v>
      </c>
      <c r="G138" s="5">
        <f t="shared" ca="1" si="5"/>
        <v>2.0474744065699102E-2</v>
      </c>
      <c r="H138" vm="486">
        <f ca="1"/>
        <v>45804</v>
      </c>
      <c r="I138" vm="489">
        <f ca="1"/>
        <v>82.75</v>
      </c>
      <c r="J138" s="5">
        <f t="shared" ca="1" si="6"/>
        <v>1.2851897184822486E-2</v>
      </c>
      <c r="M138" s="7"/>
      <c r="O138" s="5"/>
      <c r="R138" s="5"/>
      <c r="U138" s="5"/>
    </row>
    <row r="139" spans="2:21" x14ac:dyDescent="0.2">
      <c r="B139" s="7" vm="490">
        <f ca="1"/>
        <v>45810</v>
      </c>
      <c r="C139" vm="491">
        <f ca="1"/>
        <v>4.9400000000000004</v>
      </c>
      <c r="D139" s="5">
        <f t="shared" ca="1" si="7"/>
        <v>4.0650406504065982E-3</v>
      </c>
      <c r="E139" vm="490">
        <f ca="1"/>
        <v>45810</v>
      </c>
      <c r="F139" vm="492">
        <f ca="1"/>
        <v>92.14</v>
      </c>
      <c r="G139" s="5">
        <f t="shared" ca="1" si="5"/>
        <v>1.576452430823511E-2</v>
      </c>
      <c r="H139" vm="490">
        <f ca="1"/>
        <v>45810</v>
      </c>
      <c r="I139" vm="493">
        <f ca="1"/>
        <v>82.18</v>
      </c>
      <c r="J139" s="5">
        <f t="shared" ca="1" si="6"/>
        <v>-6.8882175226585279E-3</v>
      </c>
      <c r="M139" s="7"/>
      <c r="O139" s="5"/>
      <c r="R139" s="5"/>
      <c r="U139" s="5"/>
    </row>
    <row r="140" spans="2:21" x14ac:dyDescent="0.2">
      <c r="B140" s="7" vm="494">
        <f ca="1"/>
        <v>45817</v>
      </c>
      <c r="C140" vm="495">
        <f ca="1"/>
        <v>4.1900000000000004</v>
      </c>
      <c r="D140" s="5">
        <f t="shared" ca="1" si="7"/>
        <v>-0.15182186234817813</v>
      </c>
      <c r="E140" vm="494">
        <f ca="1"/>
        <v>45817</v>
      </c>
      <c r="F140" vm="496">
        <f ca="1"/>
        <v>99.93</v>
      </c>
      <c r="G140" s="5">
        <f t="shared" ca="1" si="5"/>
        <v>8.4545257217278125E-2</v>
      </c>
      <c r="H140" vm="494">
        <f ca="1"/>
        <v>45817</v>
      </c>
      <c r="I140" vm="497">
        <f ca="1"/>
        <v>83.87</v>
      </c>
      <c r="J140" s="5">
        <f t="shared" ca="1" si="6"/>
        <v>2.0564614261377435E-2</v>
      </c>
      <c r="M140" s="7"/>
      <c r="O140" s="5"/>
      <c r="R140" s="5"/>
      <c r="U140" s="5"/>
    </row>
    <row r="141" spans="2:21" x14ac:dyDescent="0.2">
      <c r="B141" s="7" vm="498">
        <f ca="1"/>
        <v>45824</v>
      </c>
      <c r="C141" vm="499">
        <f ca="1"/>
        <v>3.7</v>
      </c>
      <c r="D141" s="5">
        <f t="shared" ca="1" si="7"/>
        <v>-0.11694510739856806</v>
      </c>
      <c r="E141" vm="498">
        <f ca="1"/>
        <v>45824</v>
      </c>
      <c r="F141" vm="500">
        <f ca="1"/>
        <v>100.36</v>
      </c>
      <c r="G141" s="5">
        <f t="shared" ca="1" si="5"/>
        <v>4.3030121084758587E-3</v>
      </c>
      <c r="H141" vm="498">
        <f ca="1"/>
        <v>45824</v>
      </c>
      <c r="I141" vm="501">
        <f ca="1"/>
        <v>89.62</v>
      </c>
      <c r="J141" s="5">
        <f t="shared" ca="1" si="6"/>
        <v>6.8558483367115772E-2</v>
      </c>
      <c r="M141" s="7"/>
      <c r="O141" s="5"/>
      <c r="R141" s="5"/>
      <c r="U141" s="5"/>
    </row>
    <row r="142" spans="2:21" x14ac:dyDescent="0.2">
      <c r="B142" s="7" vm="502">
        <f ca="1"/>
        <v>45831</v>
      </c>
      <c r="C142" vm="503">
        <f ca="1"/>
        <v>3.93</v>
      </c>
      <c r="D142" s="5">
        <f t="shared" ref="D142:D173" ca="1" si="8">(C142-C141)/C141</f>
        <v>6.2162162162162152E-2</v>
      </c>
      <c r="E142" vm="502">
        <f ca="1"/>
        <v>45831</v>
      </c>
      <c r="F142" vm="504">
        <f ca="1"/>
        <v>90.99</v>
      </c>
      <c r="G142" s="5">
        <f t="shared" ca="1" si="5"/>
        <v>-9.3363889996014388E-2</v>
      </c>
      <c r="H142" vm="502">
        <f ca="1"/>
        <v>45831</v>
      </c>
      <c r="I142" vm="505">
        <f ca="1"/>
        <v>88.25</v>
      </c>
      <c r="J142" s="5">
        <f t="shared" ca="1" si="6"/>
        <v>-1.5286766346797639E-2</v>
      </c>
      <c r="M142" s="7"/>
      <c r="O142" s="5"/>
      <c r="R142" s="5"/>
      <c r="U142" s="5"/>
    </row>
    <row r="143" spans="2:21" x14ac:dyDescent="0.2">
      <c r="B143" s="7" vm="506">
        <f ca="1"/>
        <v>45838</v>
      </c>
      <c r="C143" vm="507">
        <f ca="1"/>
        <v>4.1500000000000004</v>
      </c>
      <c r="D143" s="5">
        <f t="shared" ca="1" si="8"/>
        <v>5.5979643765903357E-2</v>
      </c>
      <c r="E143" vm="506">
        <f ca="1"/>
        <v>45838</v>
      </c>
      <c r="F143" vm="508">
        <f ca="1"/>
        <v>94.65</v>
      </c>
      <c r="G143" s="5">
        <f t="shared" ref="G143:G169" ca="1" si="9">(F143-F142)/F142</f>
        <v>4.0224200461589303E-2</v>
      </c>
      <c r="H143" vm="506">
        <f ca="1"/>
        <v>45838</v>
      </c>
      <c r="I143" vm="509">
        <f ca="1"/>
        <v>88.93</v>
      </c>
      <c r="J143" s="5">
        <f t="shared" ref="J143:J169" ca="1" si="10">(I143-I142)/I142</f>
        <v>7.7053824362607005E-3</v>
      </c>
      <c r="M143" s="7"/>
      <c r="O143" s="5"/>
      <c r="R143" s="5"/>
      <c r="U143" s="5"/>
    </row>
    <row r="144" spans="2:21" x14ac:dyDescent="0.2">
      <c r="B144" s="7" vm="510">
        <f ca="1"/>
        <v>45845</v>
      </c>
      <c r="C144" vm="511">
        <f ca="1"/>
        <v>3.94</v>
      </c>
      <c r="D144" s="5">
        <f t="shared" ca="1" si="8"/>
        <v>-5.0602409638554308E-2</v>
      </c>
      <c r="E144" vm="510">
        <f ca="1"/>
        <v>45845</v>
      </c>
      <c r="F144" vm="512">
        <f ca="1"/>
        <v>98.24</v>
      </c>
      <c r="G144" s="5">
        <f t="shared" ca="1" si="9"/>
        <v>3.7929212889593125E-2</v>
      </c>
      <c r="H144" vm="510">
        <f ca="1"/>
        <v>45845</v>
      </c>
      <c r="I144" vm="513">
        <f ca="1"/>
        <v>90.28</v>
      </c>
      <c r="J144" s="5">
        <f t="shared" ca="1" si="10"/>
        <v>1.5180479028449278E-2</v>
      </c>
      <c r="M144" s="7"/>
      <c r="O144" s="5"/>
      <c r="R144" s="5"/>
      <c r="U144" s="5"/>
    </row>
    <row r="145" spans="2:21" x14ac:dyDescent="0.2">
      <c r="B145" s="7" vm="514">
        <f ca="1"/>
        <v>45852</v>
      </c>
      <c r="C145" vm="515">
        <f ca="1"/>
        <v>3.47</v>
      </c>
      <c r="D145" s="5">
        <f t="shared" ca="1" si="8"/>
        <v>-0.11928934010152278</v>
      </c>
      <c r="E145" vm="514">
        <f ca="1"/>
        <v>45852</v>
      </c>
      <c r="F145" vm="516">
        <f ca="1"/>
        <v>92.63</v>
      </c>
      <c r="G145" s="5">
        <f t="shared" ca="1" si="9"/>
        <v>-5.7105048859934851E-2</v>
      </c>
      <c r="H145" vm="514">
        <f ca="1"/>
        <v>45852</v>
      </c>
      <c r="I145" vm="517">
        <f ca="1"/>
        <v>88.6</v>
      </c>
      <c r="J145" s="5">
        <f t="shared" ca="1" si="10"/>
        <v>-1.8608772707133438E-2</v>
      </c>
      <c r="M145" s="7"/>
      <c r="O145" s="5"/>
      <c r="R145" s="5"/>
      <c r="U145" s="5"/>
    </row>
    <row r="146" spans="2:21" x14ac:dyDescent="0.2">
      <c r="B146" s="7" vm="518">
        <f ca="1"/>
        <v>45859</v>
      </c>
      <c r="C146" vm="519">
        <f ca="1"/>
        <v>3.73</v>
      </c>
      <c r="D146" s="5">
        <f t="shared" ca="1" si="8"/>
        <v>7.4927953890489854E-2</v>
      </c>
      <c r="E146" vm="518">
        <f ca="1"/>
        <v>45859</v>
      </c>
      <c r="F146" vm="520">
        <f ca="1"/>
        <v>93.3</v>
      </c>
      <c r="G146" s="5">
        <f t="shared" ca="1" si="9"/>
        <v>7.2330778365540509E-3</v>
      </c>
      <c r="H146" vm="518">
        <f ca="1"/>
        <v>45859</v>
      </c>
      <c r="I146" vm="521">
        <f ca="1"/>
        <v>89.36</v>
      </c>
      <c r="J146" s="5">
        <f t="shared" ca="1" si="10"/>
        <v>8.5778781038375294E-3</v>
      </c>
      <c r="M146" s="7"/>
      <c r="O146" s="5"/>
      <c r="R146" s="5"/>
      <c r="U146" s="5"/>
    </row>
    <row r="147" spans="2:21" x14ac:dyDescent="0.2">
      <c r="B147" s="7" vm="522">
        <f ca="1"/>
        <v>45866</v>
      </c>
      <c r="C147" vm="523">
        <f ca="1"/>
        <v>4.21</v>
      </c>
      <c r="D147" s="5">
        <f t="shared" ca="1" si="8"/>
        <v>0.12868632707774799</v>
      </c>
      <c r="E147" vm="522">
        <f ca="1"/>
        <v>45866</v>
      </c>
      <c r="F147" vm="524">
        <f ca="1"/>
        <v>91.56</v>
      </c>
      <c r="G147" s="5">
        <f t="shared" ca="1" si="9"/>
        <v>-1.8649517684887405E-2</v>
      </c>
      <c r="H147" vm="522">
        <f ca="1"/>
        <v>45866</v>
      </c>
      <c r="I147" vm="525">
        <f ca="1"/>
        <v>95.68</v>
      </c>
      <c r="J147" s="5">
        <f t="shared" ca="1" si="10"/>
        <v>7.0725156669650929E-2</v>
      </c>
      <c r="M147" s="7"/>
      <c r="O147" s="5"/>
      <c r="R147" s="5"/>
      <c r="U147" s="5"/>
    </row>
    <row r="148" spans="2:21" x14ac:dyDescent="0.2">
      <c r="B148" s="7" vm="526">
        <f ca="1"/>
        <v>45873</v>
      </c>
      <c r="C148" vm="527">
        <f ca="1"/>
        <v>4.6500000000000004</v>
      </c>
      <c r="D148" s="5">
        <f t="shared" ca="1" si="8"/>
        <v>0.10451306413301673</v>
      </c>
      <c r="E148" vm="526">
        <f ca="1"/>
        <v>45873</v>
      </c>
      <c r="F148" vm="159">
        <f ca="1"/>
        <v>80.91</v>
      </c>
      <c r="G148" s="5">
        <f t="shared" ca="1" si="9"/>
        <v>-0.11631716906946271</v>
      </c>
      <c r="H148" vm="526">
        <f ca="1"/>
        <v>45873</v>
      </c>
      <c r="I148" vm="528">
        <f ca="1"/>
        <v>96.53</v>
      </c>
      <c r="J148" s="5">
        <f t="shared" ca="1" si="10"/>
        <v>8.8837792642139871E-3</v>
      </c>
      <c r="M148" s="7"/>
      <c r="O148" s="5"/>
      <c r="R148" s="5"/>
      <c r="U148" s="5"/>
    </row>
    <row r="149" spans="2:21" x14ac:dyDescent="0.2">
      <c r="B149" s="7" vm="529">
        <f ca="1"/>
        <v>45880</v>
      </c>
      <c r="C149" vm="530">
        <f ca="1"/>
        <v>5.2</v>
      </c>
      <c r="D149" s="5">
        <f t="shared" ca="1" si="8"/>
        <v>0.11827956989247307</v>
      </c>
      <c r="E149" vm="529">
        <f ca="1"/>
        <v>45880</v>
      </c>
      <c r="F149" vm="531">
        <f ca="1"/>
        <v>85.9</v>
      </c>
      <c r="G149" s="5">
        <f t="shared" ca="1" si="9"/>
        <v>6.1673464343097381E-2</v>
      </c>
      <c r="H149" vm="529">
        <f ca="1"/>
        <v>45880</v>
      </c>
      <c r="I149" vm="532">
        <f ca="1"/>
        <v>91.28</v>
      </c>
      <c r="J149" s="5">
        <f t="shared" ca="1" si="10"/>
        <v>-5.4387237128353881E-2</v>
      </c>
      <c r="M149" s="7"/>
      <c r="O149" s="5"/>
      <c r="R149" s="5"/>
      <c r="U149" s="5"/>
    </row>
    <row r="150" spans="2:21" x14ac:dyDescent="0.2">
      <c r="B150" s="7" vm="533">
        <f ca="1"/>
        <v>45887</v>
      </c>
      <c r="C150" vm="534">
        <f ca="1"/>
        <v>5.44</v>
      </c>
      <c r="D150" s="5">
        <f t="shared" ca="1" si="8"/>
        <v>4.6153846153846191E-2</v>
      </c>
      <c r="E150" vm="533">
        <f ca="1"/>
        <v>45887</v>
      </c>
      <c r="F150" vm="535">
        <f ca="1"/>
        <v>86.51</v>
      </c>
      <c r="G150" s="5">
        <f t="shared" ca="1" si="9"/>
        <v>7.1012805587892828E-3</v>
      </c>
      <c r="H150" vm="533">
        <f ca="1"/>
        <v>45887</v>
      </c>
      <c r="I150" vm="536">
        <f ca="1"/>
        <v>90.05</v>
      </c>
      <c r="J150" s="5">
        <f t="shared" ca="1" si="10"/>
        <v>-1.3475021910604776E-2</v>
      </c>
      <c r="M150" s="7"/>
      <c r="O150" s="5"/>
      <c r="R150" s="5"/>
      <c r="U150" s="5"/>
    </row>
    <row r="151" spans="2:21" x14ac:dyDescent="0.2">
      <c r="B151" s="7" vm="537">
        <f ca="1"/>
        <v>45894</v>
      </c>
      <c r="C151" vm="538">
        <f ca="1"/>
        <v>5.4</v>
      </c>
      <c r="D151" s="5">
        <f t="shared" ca="1" si="8"/>
        <v>-7.3529411764705942E-3</v>
      </c>
      <c r="E151" vm="537">
        <f ca="1"/>
        <v>45894</v>
      </c>
      <c r="F151" vm="539">
        <f ca="1"/>
        <v>86.63</v>
      </c>
      <c r="G151" s="5">
        <f t="shared" ca="1" si="9"/>
        <v>1.3871228759679843E-3</v>
      </c>
      <c r="H151" vm="537">
        <f ca="1"/>
        <v>45894</v>
      </c>
      <c r="I151" vm="540">
        <f ca="1"/>
        <v>89.73</v>
      </c>
      <c r="J151" s="5">
        <f t="shared" ca="1" si="10"/>
        <v>-3.5535813436978697E-3</v>
      </c>
      <c r="M151" s="7"/>
      <c r="O151" s="5"/>
      <c r="R151" s="5"/>
      <c r="U151" s="5"/>
    </row>
    <row r="152" spans="2:21" x14ac:dyDescent="0.2">
      <c r="B152" s="7" vm="541">
        <f ca="1"/>
        <v>45902</v>
      </c>
      <c r="C152" vm="542">
        <f ca="1"/>
        <v>5.59</v>
      </c>
      <c r="D152" s="5">
        <f t="shared" ca="1" si="8"/>
        <v>3.518518518518509E-2</v>
      </c>
      <c r="E152" vm="541">
        <f ca="1"/>
        <v>45902</v>
      </c>
      <c r="F152" vm="543">
        <f ca="1"/>
        <v>84.48</v>
      </c>
      <c r="G152" s="5">
        <f t="shared" ca="1" si="9"/>
        <v>-2.4818192312131959E-2</v>
      </c>
      <c r="H152" vm="541">
        <f ca="1"/>
        <v>45902</v>
      </c>
      <c r="I152" vm="544">
        <f ca="1"/>
        <v>87.98</v>
      </c>
      <c r="J152" s="5">
        <f t="shared" ca="1" si="10"/>
        <v>-1.9502953304357515E-2</v>
      </c>
      <c r="M152" s="7"/>
      <c r="O152" s="5"/>
      <c r="R152" s="5"/>
      <c r="U152" s="5"/>
    </row>
    <row r="153" spans="2:21" x14ac:dyDescent="0.2">
      <c r="B153" s="7" vm="545">
        <f ca="1"/>
        <v>45908</v>
      </c>
      <c r="C153" vm="546">
        <f ca="1"/>
        <v>5.62</v>
      </c>
      <c r="D153" s="5">
        <f t="shared" ca="1" si="8"/>
        <v>5.3667262969588998E-3</v>
      </c>
      <c r="E153" vm="545">
        <f ca="1"/>
        <v>45908</v>
      </c>
      <c r="F153" vm="547">
        <f ca="1"/>
        <v>85.63</v>
      </c>
      <c r="G153" s="5">
        <f t="shared" ca="1" si="9"/>
        <v>1.3612689393939292E-2</v>
      </c>
      <c r="H153" vm="545">
        <f ca="1"/>
        <v>45908</v>
      </c>
      <c r="I153" vm="548">
        <f ca="1"/>
        <v>88.01</v>
      </c>
      <c r="J153" s="5">
        <f t="shared" ca="1" si="10"/>
        <v>3.4098658786089038E-4</v>
      </c>
      <c r="M153" s="7"/>
      <c r="O153" s="5"/>
      <c r="R153" s="5"/>
      <c r="U153" s="5"/>
    </row>
    <row r="154" spans="2:21" x14ac:dyDescent="0.2">
      <c r="B154" s="7" vm="549">
        <f ca="1"/>
        <v>45915</v>
      </c>
      <c r="C154" vm="538">
        <f ca="1"/>
        <v>5.4</v>
      </c>
      <c r="D154" s="5">
        <f t="shared" ca="1" si="8"/>
        <v>-3.9145907473309566E-2</v>
      </c>
      <c r="E154" vm="549">
        <f ca="1"/>
        <v>45915</v>
      </c>
      <c r="F154" vm="550">
        <f ca="1"/>
        <v>85.09</v>
      </c>
      <c r="G154" s="5">
        <f t="shared" ca="1" si="9"/>
        <v>-6.3062010977460248E-3</v>
      </c>
      <c r="H154" vm="549">
        <f ca="1"/>
        <v>45915</v>
      </c>
      <c r="I154" vm="551">
        <f ca="1"/>
        <v>91.02</v>
      </c>
      <c r="J154" s="5">
        <f t="shared" ca="1" si="10"/>
        <v>3.4200659016020804E-2</v>
      </c>
      <c r="M154" s="7"/>
      <c r="O154" s="5"/>
      <c r="R154" s="5"/>
      <c r="U154" s="5"/>
    </row>
    <row r="155" spans="2:21" x14ac:dyDescent="0.2">
      <c r="B155" s="7" vm="552">
        <f ca="1"/>
        <v>45922</v>
      </c>
      <c r="C155" vm="553">
        <f ca="1"/>
        <v>5.81</v>
      </c>
      <c r="D155" s="5">
        <f t="shared" ca="1" si="8"/>
        <v>7.5925925925925786E-2</v>
      </c>
      <c r="E155" vm="552">
        <f ca="1"/>
        <v>45922</v>
      </c>
      <c r="F155" vm="554">
        <f ca="1"/>
        <v>92.13</v>
      </c>
      <c r="G155" s="5">
        <f t="shared" ca="1" si="9"/>
        <v>8.2735926665883086E-2</v>
      </c>
      <c r="H155" vm="552">
        <f ca="1"/>
        <v>45922</v>
      </c>
      <c r="I155" vm="555">
        <f ca="1"/>
        <v>90.81</v>
      </c>
      <c r="J155" s="5">
        <f t="shared" ca="1" si="10"/>
        <v>-2.3071852340144339E-3</v>
      </c>
      <c r="M155" s="7"/>
      <c r="O155" s="5"/>
      <c r="R155" s="5"/>
      <c r="U155" s="5"/>
    </row>
    <row r="156" spans="2:21" x14ac:dyDescent="0.2">
      <c r="B156" s="7" vm="556">
        <f ca="1"/>
        <v>45929</v>
      </c>
      <c r="C156" vm="557">
        <f ca="1"/>
        <v>5.42</v>
      </c>
      <c r="D156" s="5">
        <f t="shared" ca="1" si="8"/>
        <v>-6.7125645438898401E-2</v>
      </c>
      <c r="E156" vm="556">
        <f ca="1"/>
        <v>45929</v>
      </c>
      <c r="F156" vm="558">
        <f ca="1"/>
        <v>90.09</v>
      </c>
      <c r="G156" s="5">
        <f t="shared" ca="1" si="9"/>
        <v>-2.214262455226302E-2</v>
      </c>
      <c r="H156" vm="556">
        <f ca="1"/>
        <v>45929</v>
      </c>
      <c r="I156" vm="559">
        <f ca="1"/>
        <v>92.97</v>
      </c>
      <c r="J156" s="5">
        <f t="shared" ca="1" si="10"/>
        <v>2.3785926660059426E-2</v>
      </c>
      <c r="M156" s="7"/>
      <c r="O156" s="5"/>
      <c r="R156" s="5"/>
      <c r="U156" s="5"/>
    </row>
    <row r="157" spans="2:21" x14ac:dyDescent="0.2">
      <c r="B157" s="7" vm="560">
        <f ca="1"/>
        <v>45936</v>
      </c>
      <c r="C157" vm="561">
        <f ca="1"/>
        <v>5.04</v>
      </c>
      <c r="D157" s="5">
        <f t="shared" ca="1" si="8"/>
        <v>-7.011070110701105E-2</v>
      </c>
      <c r="E157" vm="560">
        <f ca="1"/>
        <v>45936</v>
      </c>
      <c r="F157" vm="562">
        <f ca="1"/>
        <v>87.34</v>
      </c>
      <c r="G157" s="5">
        <f t="shared" ca="1" si="9"/>
        <v>-3.0525030525030524E-2</v>
      </c>
      <c r="H157" vm="560">
        <f ca="1"/>
        <v>45936</v>
      </c>
      <c r="I157" vm="563">
        <f ca="1"/>
        <v>92.57</v>
      </c>
      <c r="J157" s="5">
        <f t="shared" ca="1" si="10"/>
        <v>-4.3024631601592525E-3</v>
      </c>
      <c r="M157" s="7"/>
      <c r="O157" s="5"/>
      <c r="R157" s="5"/>
      <c r="U157" s="5"/>
    </row>
    <row r="158" spans="2:21" x14ac:dyDescent="0.2">
      <c r="B158" s="7" vm="564">
        <f ca="1"/>
        <v>45943</v>
      </c>
      <c r="C158" vm="565">
        <f ca="1"/>
        <v>5.22</v>
      </c>
      <c r="D158" s="5">
        <f t="shared" ca="1" si="8"/>
        <v>3.5714285714285657E-2</v>
      </c>
      <c r="E158" vm="564">
        <f ca="1"/>
        <v>45943</v>
      </c>
      <c r="F158" vm="566">
        <f ca="1"/>
        <v>83.51</v>
      </c>
      <c r="G158" s="5">
        <f t="shared" ca="1" si="9"/>
        <v>-4.3851614380581612E-2</v>
      </c>
      <c r="H158" vm="564">
        <f ca="1"/>
        <v>45943</v>
      </c>
      <c r="I158" vm="567">
        <f ca="1"/>
        <v>90.3</v>
      </c>
      <c r="J158" s="5">
        <f t="shared" ca="1" si="10"/>
        <v>-2.452198336394076E-2</v>
      </c>
      <c r="M158" s="7"/>
      <c r="O158" s="5"/>
      <c r="R158" s="5"/>
      <c r="U158" s="5"/>
    </row>
    <row r="159" spans="2:21" x14ac:dyDescent="0.2">
      <c r="B159" s="7" vm="568">
        <f ca="1"/>
        <v>45950</v>
      </c>
      <c r="C159" vm="569">
        <f ca="1"/>
        <v>5.35</v>
      </c>
      <c r="D159" s="5">
        <f t="shared" ca="1" si="8"/>
        <v>2.4904214559386954E-2</v>
      </c>
      <c r="E159" vm="568">
        <f ca="1"/>
        <v>45950</v>
      </c>
      <c r="F159" vm="570">
        <f ca="1"/>
        <v>86.47</v>
      </c>
      <c r="G159" s="5">
        <f t="shared" ca="1" si="9"/>
        <v>3.544485690336479E-2</v>
      </c>
      <c r="H159" vm="568">
        <f ca="1"/>
        <v>45950</v>
      </c>
      <c r="I159" vm="43">
        <f ca="1"/>
        <v>93.52</v>
      </c>
      <c r="J159" s="5">
        <f t="shared" ca="1" si="10"/>
        <v>3.5658914728682156E-2</v>
      </c>
      <c r="M159" s="7"/>
      <c r="O159" s="5"/>
      <c r="R159" s="5"/>
      <c r="U159" s="5"/>
    </row>
    <row r="160" spans="2:21" x14ac:dyDescent="0.2">
      <c r="B160" s="7" vm="571">
        <f ca="1"/>
        <v>45957</v>
      </c>
      <c r="C160" vm="572">
        <f ca="1"/>
        <v>4.47</v>
      </c>
      <c r="D160" s="5">
        <f t="shared" ca="1" si="8"/>
        <v>-0.16448598130841122</v>
      </c>
      <c r="E160" vm="571">
        <f ca="1"/>
        <v>45957</v>
      </c>
      <c r="F160" vm="573">
        <f ca="1"/>
        <v>83.29</v>
      </c>
      <c r="G160" s="5">
        <f t="shared" ca="1" si="9"/>
        <v>-3.6775760379322224E-2</v>
      </c>
      <c r="H160" vm="571">
        <f ca="1"/>
        <v>45957</v>
      </c>
      <c r="I160" vm="574">
        <f ca="1"/>
        <v>94.69</v>
      </c>
      <c r="J160" s="5">
        <f t="shared" ca="1" si="10"/>
        <v>1.2510692899914475E-2</v>
      </c>
      <c r="M160" s="7"/>
      <c r="O160" s="5"/>
      <c r="R160" s="5"/>
      <c r="U160" s="5"/>
    </row>
    <row r="161" spans="2:21" x14ac:dyDescent="0.2">
      <c r="B161" s="7" vm="575">
        <f ca="1"/>
        <v>45964</v>
      </c>
      <c r="C161" vm="576">
        <f ca="1"/>
        <v>5.0999999999999996</v>
      </c>
      <c r="D161" s="5">
        <f t="shared" ca="1" si="8"/>
        <v>0.14093959731543623</v>
      </c>
      <c r="E161" vm="575">
        <f ca="1"/>
        <v>45964</v>
      </c>
      <c r="F161" vm="577">
        <f ca="1"/>
        <v>82.03</v>
      </c>
      <c r="G161" s="5">
        <f t="shared" ca="1" si="9"/>
        <v>-1.5127866490575159E-2</v>
      </c>
      <c r="H161" vm="575">
        <f ca="1"/>
        <v>45964</v>
      </c>
      <c r="I161" vm="578">
        <f ca="1"/>
        <v>99.67</v>
      </c>
      <c r="J161" s="5">
        <f t="shared" ca="1" si="10"/>
        <v>5.2592670820572437E-2</v>
      </c>
      <c r="M161" s="7"/>
      <c r="O161" s="5"/>
      <c r="R161" s="5"/>
      <c r="U161" s="5"/>
    </row>
    <row r="162" spans="2:21" x14ac:dyDescent="0.2">
      <c r="B162" s="7" vm="579">
        <f ca="1"/>
        <v>45971</v>
      </c>
      <c r="C162" vm="419">
        <f ca="1"/>
        <v>5.08</v>
      </c>
      <c r="D162" s="5">
        <f t="shared" ca="1" si="8"/>
        <v>-3.9215686274508971E-3</v>
      </c>
      <c r="E162" vm="579">
        <f ca="1"/>
        <v>45971</v>
      </c>
      <c r="F162" vm="580">
        <f ca="1"/>
        <v>85.04</v>
      </c>
      <c r="G162" s="5">
        <f t="shared" ca="1" si="9"/>
        <v>3.6693892478361634E-2</v>
      </c>
      <c r="H162" vm="579">
        <f ca="1"/>
        <v>45971</v>
      </c>
      <c r="I162" vm="581">
        <f ca="1"/>
        <v>99.17</v>
      </c>
      <c r="J162" s="5">
        <f t="shared" ca="1" si="10"/>
        <v>-5.0165546302799241E-3</v>
      </c>
      <c r="M162" s="7"/>
      <c r="O162" s="5"/>
      <c r="R162" s="5"/>
      <c r="U162" s="5"/>
    </row>
    <row r="163" spans="2:21" x14ac:dyDescent="0.2">
      <c r="B163" s="7" vm="582">
        <f ca="1"/>
        <v>45978</v>
      </c>
      <c r="C163" vm="583">
        <f ca="1"/>
        <v>4.32</v>
      </c>
      <c r="D163" s="5">
        <f t="shared" ca="1" si="8"/>
        <v>-0.14960629921259838</v>
      </c>
      <c r="E163" vm="582">
        <f ca="1"/>
        <v>45978</v>
      </c>
      <c r="F163" vm="584">
        <f ca="1"/>
        <v>78.540000000000006</v>
      </c>
      <c r="G163" s="5">
        <f t="shared" ca="1" si="9"/>
        <v>-7.6434619002822196E-2</v>
      </c>
      <c r="H163" vm="582">
        <f ca="1"/>
        <v>45978</v>
      </c>
      <c r="I163" vm="585">
        <f ca="1"/>
        <v>97.44</v>
      </c>
      <c r="J163" s="5">
        <f t="shared" ca="1" si="10"/>
        <v>-1.7444791771705194E-2</v>
      </c>
      <c r="M163" s="7"/>
      <c r="O163" s="5"/>
      <c r="R163" s="5"/>
      <c r="U163" s="5"/>
    </row>
    <row r="164" spans="2:21" x14ac:dyDescent="0.2">
      <c r="B164" s="7" vm="586">
        <f ca="1"/>
        <v>45985</v>
      </c>
      <c r="C164" vm="587">
        <f ca="1"/>
        <v>4.66</v>
      </c>
      <c r="D164" s="5">
        <f t="shared" ca="1" si="8"/>
        <v>7.8703703703703665E-2</v>
      </c>
      <c r="E164" vm="586">
        <f ca="1"/>
        <v>45985</v>
      </c>
      <c r="F164" vm="588">
        <f ca="1"/>
        <v>78.7</v>
      </c>
      <c r="G164" s="5">
        <f t="shared" ca="1" si="9"/>
        <v>2.0371785077666995E-3</v>
      </c>
      <c r="H164" vm="586">
        <f ca="1"/>
        <v>45985</v>
      </c>
      <c r="I164" vm="589">
        <f ca="1"/>
        <v>96.56</v>
      </c>
      <c r="J164" s="5">
        <f t="shared" ca="1" si="10"/>
        <v>-9.0311986863710544E-3</v>
      </c>
      <c r="M164" s="7"/>
      <c r="O164" s="5"/>
      <c r="R164" s="5"/>
      <c r="U164" s="5"/>
    </row>
    <row r="165" spans="2:21" x14ac:dyDescent="0.2">
      <c r="B165" s="7" vm="590">
        <f ca="1"/>
        <v>45992</v>
      </c>
      <c r="C165" vm="591">
        <f ca="1"/>
        <v>4.28</v>
      </c>
      <c r="D165" s="5">
        <f t="shared" ca="1" si="8"/>
        <v>-8.1545064377682372E-2</v>
      </c>
      <c r="E165" vm="590">
        <f ca="1"/>
        <v>45992</v>
      </c>
      <c r="F165" vm="592">
        <f ca="1"/>
        <v>77.88</v>
      </c>
      <c r="G165" s="5">
        <f t="shared" ca="1" si="9"/>
        <v>-1.0419313850063627E-2</v>
      </c>
      <c r="H165" vm="590">
        <f ca="1"/>
        <v>45992</v>
      </c>
      <c r="I165" vm="593">
        <f ca="1"/>
        <v>94.27</v>
      </c>
      <c r="J165" s="5">
        <f t="shared" ca="1" si="10"/>
        <v>-2.3715824357912241E-2</v>
      </c>
      <c r="M165" s="7"/>
      <c r="O165" s="5"/>
      <c r="R165" s="5"/>
      <c r="U165" s="5"/>
    </row>
    <row r="166" spans="2:21" x14ac:dyDescent="0.2">
      <c r="B166" s="7" vm="594">
        <f ca="1"/>
        <v>45999</v>
      </c>
      <c r="C166" vm="583">
        <f ca="1"/>
        <v>4.32</v>
      </c>
      <c r="D166" s="5">
        <f t="shared" ca="1" si="8"/>
        <v>9.3457943925233725E-3</v>
      </c>
      <c r="E166" vm="594">
        <f ca="1"/>
        <v>45999</v>
      </c>
      <c r="F166" vm="595">
        <f ca="1"/>
        <v>79.19</v>
      </c>
      <c r="G166" s="5">
        <f t="shared" ca="1" si="9"/>
        <v>1.682074987159736E-2</v>
      </c>
      <c r="H166" vm="594">
        <f ca="1"/>
        <v>45999</v>
      </c>
      <c r="I166" vm="596">
        <f ca="1"/>
        <v>95.49</v>
      </c>
      <c r="J166" s="5">
        <f t="shared" ca="1" si="10"/>
        <v>1.2941550864538017E-2</v>
      </c>
      <c r="M166" s="7"/>
      <c r="O166" s="5"/>
      <c r="R166" s="5"/>
      <c r="U166" s="5"/>
    </row>
    <row r="167" spans="2:21" x14ac:dyDescent="0.2">
      <c r="B167" s="7" vm="597">
        <f ca="1"/>
        <v>46006</v>
      </c>
      <c r="C167" vm="598">
        <f ca="1"/>
        <v>3.89</v>
      </c>
      <c r="D167" s="5">
        <f t="shared" ca="1" si="8"/>
        <v>-9.9537037037037063E-2</v>
      </c>
      <c r="E167" vm="597">
        <f ca="1"/>
        <v>46006</v>
      </c>
      <c r="F167" vm="588">
        <f ca="1"/>
        <v>78.7</v>
      </c>
      <c r="G167" s="5">
        <f t="shared" ca="1" si="9"/>
        <v>-6.1876499558024363E-3</v>
      </c>
      <c r="H167" vm="597">
        <f ca="1"/>
        <v>46006</v>
      </c>
      <c r="I167" vm="599">
        <f ca="1"/>
        <v>95.48</v>
      </c>
      <c r="J167" s="5">
        <f t="shared" ca="1" si="10"/>
        <v>-1.0472300764468432E-4</v>
      </c>
      <c r="M167" s="7"/>
      <c r="O167" s="5"/>
      <c r="R167" s="5"/>
      <c r="U167" s="5"/>
    </row>
    <row r="168" spans="2:21" x14ac:dyDescent="0.2">
      <c r="B168" s="7" vm="600">
        <f ca="1"/>
        <v>46013</v>
      </c>
      <c r="C168" vm="601">
        <f ca="1"/>
        <v>4.01</v>
      </c>
      <c r="D168" s="5">
        <f t="shared" ca="1" si="8"/>
        <v>3.08483290488431E-2</v>
      </c>
      <c r="E168" vm="600">
        <f ca="1"/>
        <v>46013</v>
      </c>
      <c r="F168" vm="602">
        <f ca="1"/>
        <v>77.45</v>
      </c>
      <c r="G168" s="5">
        <f t="shared" ca="1" si="9"/>
        <v>-1.588310038119441E-2</v>
      </c>
      <c r="H168" vm="600">
        <f ca="1"/>
        <v>46013</v>
      </c>
      <c r="I168" vm="603">
        <f ca="1"/>
        <v>97.24</v>
      </c>
      <c r="J168" s="5">
        <f t="shared" ca="1" si="10"/>
        <v>1.8433179723502207E-2</v>
      </c>
      <c r="M168" s="7"/>
      <c r="O168" s="5"/>
      <c r="R168" s="5"/>
      <c r="U168" s="5"/>
    </row>
    <row r="169" spans="2:21" x14ac:dyDescent="0.2">
      <c r="B169" s="7" vm="604">
        <f ca="1"/>
        <v>46020</v>
      </c>
      <c r="C169" vm="605">
        <f ca="1"/>
        <v>3.81</v>
      </c>
      <c r="D169" s="5">
        <f t="shared" ca="1" si="8"/>
        <v>-4.9875311720698187E-2</v>
      </c>
      <c r="E169" vm="604">
        <f ca="1"/>
        <v>46020</v>
      </c>
      <c r="F169" vm="606">
        <f ca="1"/>
        <v>80.13</v>
      </c>
      <c r="G169" s="5">
        <f t="shared" ca="1" si="9"/>
        <v>3.4602969657843673E-2</v>
      </c>
      <c r="H169" vm="604">
        <f ca="1"/>
        <v>46020</v>
      </c>
      <c r="I169" vm="607">
        <f ca="1"/>
        <v>101.5</v>
      </c>
      <c r="J169" s="5">
        <f t="shared" ca="1" si="10"/>
        <v>4.380913204442622E-2</v>
      </c>
    </row>
  </sheetData>
  <mergeCells count="3">
    <mergeCell ref="B11:D11"/>
    <mergeCell ref="E11:G11"/>
    <mergeCell ref="H11:J11"/>
  </mergeCells>
  <phoneticPr fontId="2" type="noConversion"/>
  <hyperlinks>
    <hyperlink ref="J8" r:id="rId1" display="https://www.cfindustries.com/" xr:uid="{F710BA15-F0AE-443A-B498-FB87FC05147F}"/>
    <hyperlink ref="J9" r:id="rId2" display="https://www.cvrpartners.com/" xr:uid="{76608CF9-565B-4FB1-AF80-C29FEB89B52E}"/>
    <hyperlink ref="J7" r:id="rId3" display="https://www.investors-american-vanguard.com/overview/default.aspx" xr:uid="{262032E1-5F38-4400-8E6C-95567FB0F7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Ysabel</dc:creator>
  <cp:lastModifiedBy>Kulkarni, Smriti</cp:lastModifiedBy>
  <dcterms:created xsi:type="dcterms:W3CDTF">2026-04-27T19:52:51Z</dcterms:created>
  <dcterms:modified xsi:type="dcterms:W3CDTF">2026-05-13T18:18:42Z</dcterms:modified>
</cp:coreProperties>
</file>